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改訂履歴" sheetId="2" r:id="rId5"/>
    <sheet state="visible" name="テーブル一覧" sheetId="3" r:id="rId6"/>
    <sheet state="visible" name="配信情報" sheetId="4" r:id="rId7"/>
    <sheet state="visible" name="カテゴリ情報" sheetId="5" r:id="rId8"/>
    <sheet state="visible" name="ユーザー情報" sheetId="6" r:id="rId9"/>
    <sheet state="hidden" name="データ型" sheetId="7" r:id="rId10"/>
    <sheet state="hidden" name="プルダウン" sheetId="8" r:id="rId11"/>
  </sheets>
  <definedNames>
    <definedName name="データ型と桁数指定_postgre">'データ型'!$C$3:$D$30</definedName>
  </definedNames>
  <calcPr/>
</workbook>
</file>

<file path=xl/sharedStrings.xml><?xml version="1.0" encoding="utf-8"?>
<sst xmlns="http://schemas.openxmlformats.org/spreadsheetml/2006/main" count="244" uniqueCount="105">
  <si>
    <t>うぇぶや姫
テーブル定義書/DB項目定義書</t>
  </si>
  <si>
    <t>■改訂履歴</t>
  </si>
  <si>
    <t>バージョン</t>
  </si>
  <si>
    <t>作成･更新日</t>
  </si>
  <si>
    <t>＃</t>
  </si>
  <si>
    <t>改版理由・箇所</t>
  </si>
  <si>
    <t>担当者</t>
  </si>
  <si>
    <t>新規作成</t>
  </si>
  <si>
    <t>すずき</t>
  </si>
  <si>
    <t>カテゴリ追加対応</t>
  </si>
  <si>
    <t>■テーブル一覧</t>
  </si>
  <si>
    <t>No</t>
  </si>
  <si>
    <t>テーブル論理名</t>
  </si>
  <si>
    <t>テーブル物理名</t>
  </si>
  <si>
    <t>テーブル概要</t>
  </si>
  <si>
    <t>配信情報</t>
  </si>
  <si>
    <t>カテゴリ情報</t>
  </si>
  <si>
    <t>文書名</t>
  </si>
  <si>
    <t>作成者</t>
  </si>
  <si>
    <t>作成日</t>
  </si>
  <si>
    <t>CREATE TABLE T_STREAM (
  STREAM_ID BIGINT GENERATED ALWAYS AS IDENTITY NOT NULL,
  TITLE CHARACTER VARYING NOT NULL,
  OVERVIEW CHARACTER VARYING NOT NULL,
  CATEGORY_ID BIGINT NOT NULL REFERENCES M_CATEGORY(CATEGORY_ID),
  USER_ID CHARACTER(36) NOT NULL REFERENCES T_USER(USER_ID),
  ENTRY_DATETIME TIMESTAMP  NOT NULL DEFAULT NOW(),
  UPDATE_DATETIME TIMESTAMP  NOT NULL DEFAULT NOW(),
  DELETE_FLAG BOOLEAN NOT NULL DEFAULT FALSE,
  PRIMARY KEY (STREAM_ID)
);</t>
  </si>
  <si>
    <t>更新者</t>
  </si>
  <si>
    <t>更新日</t>
  </si>
  <si>
    <t>テーブル論理名称</t>
  </si>
  <si>
    <t>テーブル物理名称</t>
  </si>
  <si>
    <t>T_STREAM</t>
  </si>
  <si>
    <t>説明</t>
  </si>
  <si>
    <t>登録された配信の情報を格納する</t>
  </si>
  <si>
    <t>一覧に戻る</t>
  </si>
  <si>
    <t>論理名称</t>
  </si>
  <si>
    <t>物理名称</t>
  </si>
  <si>
    <t>データ型</t>
  </si>
  <si>
    <t>桁数指定有無(作業列)</t>
  </si>
  <si>
    <t>桁数</t>
  </si>
  <si>
    <t>初期値</t>
  </si>
  <si>
    <t>PK</t>
  </si>
  <si>
    <t>NN</t>
  </si>
  <si>
    <t>FK</t>
  </si>
  <si>
    <t>配信ID</t>
  </si>
  <si>
    <t>STREAM_ID</t>
  </si>
  <si>
    <t>BIGINT</t>
  </si>
  <si>
    <t>〇</t>
  </si>
  <si>
    <t>自動採番</t>
  </si>
  <si>
    <t>配信タイトル</t>
  </si>
  <si>
    <t>TITLE</t>
  </si>
  <si>
    <t>CHARACTER VARYING</t>
  </si>
  <si>
    <t>-</t>
  </si>
  <si>
    <t>配信概要</t>
  </si>
  <si>
    <t>OVERVIEW</t>
  </si>
  <si>
    <t>カテゴリID</t>
  </si>
  <si>
    <t>CATEGORY_ID</t>
  </si>
  <si>
    <t>M_CATEGORY(CATEGORY_ID)</t>
  </si>
  <si>
    <t>#2(カテゴリ追加対応)にて追加</t>
  </si>
  <si>
    <t>ユーザーID</t>
  </si>
  <si>
    <t>USER_ID</t>
  </si>
  <si>
    <t>CHARACTER</t>
  </si>
  <si>
    <t>T_USER(USER_ID)</t>
  </si>
  <si>
    <t>登録日時</t>
  </si>
  <si>
    <t>ENTRY_DATETIME</t>
  </si>
  <si>
    <t xml:space="preserve">TIMESTAMP </t>
  </si>
  <si>
    <t>NOW()</t>
  </si>
  <si>
    <t>更新日時</t>
  </si>
  <si>
    <t>UPDATE_DATETIME</t>
  </si>
  <si>
    <t>削除フラグ</t>
  </si>
  <si>
    <t>DELETE_FLAG</t>
  </si>
  <si>
    <t>BOOLEAN</t>
  </si>
  <si>
    <t>FALSE</t>
  </si>
  <si>
    <t>CREATE TABLE M_CATEGORY (
  CATEGORY_ID BIGINT GENERATED ALWAYS AS IDENTITY NOT NULL,
  CATEGORY_NAME CHARACTER VARYING NOT NULL,
  ENTRY_DATETIME TIMESTAMP  NOT NULL DEFAULT NOW(),
  UPDATE_DATETIME TIMESTAMP  NOT NULL DEFAULT NOW(),
  DELETE_FLAG BOOLEAN NOT NULL DEFAULT FALSE,
  PRIMARY KEY (CATEGORY_ID)
);</t>
  </si>
  <si>
    <t>M_CATEGORY</t>
  </si>
  <si>
    <t>配信情報に紐づくカテゴリ情報を定義(#2(カテゴリ追加対応)にて追加)</t>
  </si>
  <si>
    <t>カテゴリ名称</t>
  </si>
  <si>
    <t>CATEGORY_NAME</t>
  </si>
  <si>
    <t>CREATE TABLE T_USER (
  USER_ID CHARACTER(36) NOT NULL DEFAULT gen_random_uuid ()::text,
  PASSWORD CHARACTER VARYING NOT NULL,
  USER_NAME CHARACTER VARYING NOT NULL,
  ENTRY_DATETIME TIMESTAMP  NOT NULL DEFAULT NOW(),
  UPDATE_DATETIME TIMESTAMP  NOT NULL DEFAULT NOW(),
  DELETE_FLAG BOOLEAN NOT NULL DEFAULT FALSE,
  PRIMARY KEY (USER_ID)
);</t>
  </si>
  <si>
    <t>ユーザー情報</t>
  </si>
  <si>
    <t>T_USER</t>
  </si>
  <si>
    <t>登録されたユーザーの情報を格納する
※本テーブルは現在ほぼ使われていない他対応でいずれ必要になるはず、、、</t>
  </si>
  <si>
    <t>gen_random_uuid ()::text</t>
  </si>
  <si>
    <t>UUIDv4をDB側で自動採番する。
※UUID型の受け渡しがpostgre⇔MyBatisでの処理で複雑になるので文字列型で定義する。</t>
  </si>
  <si>
    <t>パスワード</t>
  </si>
  <si>
    <t>PASSWORD</t>
  </si>
  <si>
    <t>ユーザー名</t>
  </si>
  <si>
    <t>USER_NAME</t>
  </si>
  <si>
    <t>参考</t>
  </si>
  <si>
    <t>https://qiita.com/hiroshikm/items/0474d28bc8620571db3c</t>
  </si>
  <si>
    <t>No.</t>
  </si>
  <si>
    <t>カテゴリ</t>
  </si>
  <si>
    <t>型名</t>
  </si>
  <si>
    <t>桁指定</t>
  </si>
  <si>
    <t>備考</t>
  </si>
  <si>
    <t>文字列型</t>
  </si>
  <si>
    <t>固定長</t>
  </si>
  <si>
    <t>VARCHAR</t>
  </si>
  <si>
    <t>可変長</t>
  </si>
  <si>
    <t>論理型</t>
  </si>
  <si>
    <t>数値型</t>
  </si>
  <si>
    <t>INTEGER</t>
  </si>
  <si>
    <t xml:space="preserve">	-2,147,483,648 から +2,147,483,647</t>
  </si>
  <si>
    <t>NUMERIC</t>
  </si>
  <si>
    <t>小数NUMERIC(10,2)</t>
  </si>
  <si>
    <t>日付/時刻型</t>
  </si>
  <si>
    <t>ID</t>
  </si>
  <si>
    <t>UUID</t>
  </si>
  <si>
    <t>gen_random_uuid()にて発行？</t>
  </si>
  <si>
    <t>SERIAL</t>
  </si>
  <si>
    <t>PK、NN用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</si>
</sst>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d"/>
    <numFmt numFmtId="165" formatCode="yyyy/m/d"/>
    <numFmt numFmtId="166" formatCode="[$-F800]dddd\,\ mmmm\ dd\,\ yyyy"/>
  </numFmts>
  <fonts count="22">
    <font>
      <sz val="12.0"/>
      <color theme="1"/>
      <name val="Calibri"/>
      <scheme val="minor"/>
    </font>
    <font>
      <sz val="12.0"/>
      <color theme="1"/>
      <name val="游ゴシック"/>
    </font>
    <font>
      <sz val="36.0"/>
      <color theme="1"/>
      <name val="游ゴシック"/>
    </font>
    <font/>
    <font>
      <u/>
      <sz val="10.0"/>
      <color theme="1"/>
      <name val="游ゴシック"/>
    </font>
    <font>
      <sz val="10.0"/>
      <color theme="1"/>
      <name val="游ゴシック"/>
    </font>
    <font>
      <b/>
      <sz val="10.0"/>
      <color rgb="FFFFFFFF"/>
      <name val="游ゴシック"/>
    </font>
    <font>
      <sz val="10.0"/>
      <color rgb="FF000000"/>
      <name val="游ゴシック"/>
    </font>
    <font>
      <u/>
      <sz val="10.0"/>
      <color rgb="FF000000"/>
      <name val="游ゴシック"/>
    </font>
    <font>
      <b/>
      <sz val="12.0"/>
      <color theme="1"/>
      <name val="游ゴシック"/>
    </font>
    <font>
      <b/>
      <sz val="10.0"/>
      <color theme="1"/>
      <name val="游ゴシック"/>
    </font>
    <font>
      <u/>
      <sz val="8.0"/>
      <color theme="10"/>
      <name val="游ゴシック"/>
    </font>
    <font>
      <sz val="9.0"/>
      <color theme="1"/>
      <name val="游ゴシック"/>
    </font>
    <font>
      <sz val="9.0"/>
      <color rgb="FF000000"/>
      <name val="游ゴシック"/>
    </font>
    <font>
      <sz val="11.0"/>
      <color rgb="FFC58AF9"/>
      <name val="游ゴシック"/>
    </font>
    <font>
      <sz val="9.0"/>
      <color theme="1"/>
      <name val="Arial"/>
    </font>
    <font>
      <b/>
      <sz val="11.0"/>
      <color theme="1"/>
      <name val="Meiryo"/>
    </font>
    <font>
      <u/>
      <sz val="10.0"/>
      <color rgb="FF0000FF"/>
      <name val="Meiryo"/>
    </font>
    <font>
      <sz val="10.0"/>
      <color theme="1"/>
      <name val="Meiryo"/>
    </font>
    <font>
      <sz val="10.0"/>
      <color theme="1"/>
      <name val="Calibri"/>
    </font>
    <font>
      <b/>
      <sz val="10.0"/>
      <color rgb="FF000000"/>
      <name val="Meiryo"/>
    </font>
    <font>
      <b/>
      <sz val="10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24">
    <border/>
    <border>
      <left style="thick">
        <color rgb="FF000000"/>
      </left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/>
    </border>
    <border>
      <right/>
      <top style="thin">
        <color rgb="FF000000"/>
      </top>
      <bottom style="thin">
        <color rgb="FF000000"/>
      </bottom>
    </border>
    <border>
      <left/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0" xfId="0" applyFont="1"/>
    <xf borderId="2" fillId="0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1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0" fontId="4" numFmtId="0" xfId="0" applyFont="1"/>
    <xf borderId="0" fillId="0" fontId="5" numFmtId="0" xfId="0" applyFont="1"/>
    <xf borderId="9" fillId="2" fontId="6" numFmtId="0" xfId="0" applyAlignment="1" applyBorder="1" applyFill="1" applyFont="1">
      <alignment horizontal="center"/>
    </xf>
    <xf borderId="10" fillId="0" fontId="3" numFmtId="0" xfId="0" applyBorder="1" applyFont="1"/>
    <xf borderId="11" fillId="0" fontId="3" numFmtId="0" xfId="0" applyBorder="1" applyFont="1"/>
    <xf borderId="9" fillId="0" fontId="5" numFmtId="0" xfId="0" applyAlignment="1" applyBorder="1" applyFont="1">
      <alignment horizontal="center" vertical="center"/>
    </xf>
    <xf borderId="9" fillId="0" fontId="5" numFmtId="164" xfId="0" applyAlignment="1" applyBorder="1" applyFont="1" applyNumberFormat="1">
      <alignment horizontal="center" vertical="center"/>
    </xf>
    <xf borderId="12" fillId="0" fontId="5" numFmtId="0" xfId="0" applyAlignment="1" applyBorder="1" applyFont="1">
      <alignment horizontal="center" vertical="center"/>
    </xf>
    <xf borderId="13" fillId="0" fontId="3" numFmtId="0" xfId="0" applyBorder="1" applyFont="1"/>
    <xf borderId="12" fillId="0" fontId="5" numFmtId="0" xfId="0" applyAlignment="1" applyBorder="1" applyFont="1">
      <alignment horizontal="left" vertical="center"/>
    </xf>
    <xf borderId="14" fillId="0" fontId="3" numFmtId="0" xfId="0" applyBorder="1" applyFont="1"/>
    <xf borderId="9" fillId="0" fontId="5" numFmtId="165" xfId="0" applyAlignment="1" applyBorder="1" applyFont="1" applyNumberFormat="1">
      <alignment horizontal="center" vertical="center"/>
    </xf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readingOrder="0" vertical="center"/>
    </xf>
    <xf borderId="9" fillId="0" fontId="5" numFmtId="14" xfId="0" applyAlignment="1" applyBorder="1" applyFont="1" applyNumberForma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left" readingOrder="0" vertical="center"/>
    </xf>
    <xf borderId="9" fillId="0" fontId="5" numFmtId="166" xfId="0" applyAlignment="1" applyBorder="1" applyFont="1" applyNumberFormat="1">
      <alignment horizontal="center" vertical="center"/>
    </xf>
    <xf borderId="12" fillId="0" fontId="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15" fillId="2" fontId="6" numFmtId="0" xfId="0" applyAlignment="1" applyBorder="1" applyFont="1">
      <alignment horizontal="center"/>
    </xf>
    <xf borderId="0" fillId="0" fontId="5" numFmtId="0" xfId="0" applyAlignment="1" applyFont="1">
      <alignment vertical="center"/>
    </xf>
    <xf borderId="15" fillId="0" fontId="5" numFmtId="0" xfId="0" applyAlignment="1" applyBorder="1" applyFont="1">
      <alignment vertical="center"/>
    </xf>
    <xf borderId="9" fillId="0" fontId="7" numFmtId="0" xfId="0" applyAlignment="1" applyBorder="1" applyFont="1">
      <alignment horizontal="left" vertical="center"/>
    </xf>
    <xf borderId="9" fillId="3" fontId="7" numFmtId="0" xfId="0" applyAlignment="1" applyBorder="1" applyFill="1" applyFont="1">
      <alignment horizontal="left" vertical="center"/>
    </xf>
    <xf borderId="9" fillId="3" fontId="7" numFmtId="0" xfId="0" applyAlignment="1" applyBorder="1" applyFont="1">
      <alignment horizontal="left" shrinkToFit="0" vertical="center" wrapText="1"/>
    </xf>
    <xf borderId="9" fillId="0" fontId="8" numFmtId="0" xfId="0" applyAlignment="1" applyBorder="1" applyFont="1">
      <alignment horizontal="left" vertical="center"/>
    </xf>
    <xf borderId="0" fillId="0" fontId="5" numFmtId="0" xfId="0" applyAlignment="1" applyFont="1">
      <alignment shrinkToFit="0" vertical="center" wrapText="1"/>
    </xf>
    <xf borderId="12" fillId="2" fontId="6" numFmtId="0" xfId="0" applyAlignment="1" applyBorder="1" applyFont="1">
      <alignment horizontal="center"/>
    </xf>
    <xf borderId="12" fillId="0" fontId="9" numFmtId="0" xfId="0" applyAlignment="1" applyBorder="1" applyFont="1">
      <alignment horizontal="center" shrinkToFit="0" vertical="center" wrapText="1"/>
    </xf>
    <xf borderId="9" fillId="2" fontId="6" numFmtId="0" xfId="0" applyAlignment="1" applyBorder="1" applyFont="1">
      <alignment horizontal="left"/>
    </xf>
    <xf borderId="9" fillId="0" fontId="5" numFmtId="165" xfId="0" applyAlignment="1" applyBorder="1" applyFont="1" applyNumberFormat="1">
      <alignment horizontal="left"/>
    </xf>
    <xf borderId="16" fillId="3" fontId="5" numFmtId="0" xfId="0" applyAlignment="1" applyBorder="1" applyFont="1">
      <alignment horizontal="left" readingOrder="0" shrinkToFit="0" vertical="top" wrapText="1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9" fillId="0" fontId="5" numFmtId="0" xfId="0" applyAlignment="1" applyBorder="1" applyFont="1">
      <alignment horizontal="left"/>
    </xf>
    <xf borderId="20" fillId="0" fontId="3" numFmtId="0" xfId="0" applyBorder="1" applyFont="1"/>
    <xf borderId="0" fillId="0" fontId="10" numFmtId="0" xfId="0" applyFont="1"/>
    <xf borderId="9" fillId="0" fontId="5" numFmtId="0" xfId="0" applyAlignment="1" applyBorder="1" applyFont="1">
      <alignment horizontal="left" readingOrder="0"/>
    </xf>
    <xf borderId="0" fillId="0" fontId="11" numFmtId="0" xfId="0" applyFont="1"/>
    <xf borderId="21" fillId="0" fontId="3" numFmtId="0" xfId="0" applyBorder="1" applyFont="1"/>
    <xf borderId="22" fillId="0" fontId="3" numFmtId="0" xfId="0" applyBorder="1" applyFont="1"/>
    <xf borderId="15" fillId="0" fontId="12" numFmtId="0" xfId="0" applyAlignment="1" applyBorder="1" applyFont="1">
      <alignment horizontal="center" vertical="center"/>
    </xf>
    <xf borderId="9" fillId="0" fontId="12" numFmtId="0" xfId="0" applyAlignment="1" applyBorder="1" applyFont="1">
      <alignment horizontal="left" shrinkToFit="1" vertical="center" wrapText="0"/>
    </xf>
    <xf borderId="9" fillId="0" fontId="12" numFmtId="0" xfId="0" applyAlignment="1" applyBorder="1" applyFont="1">
      <alignment horizontal="left" vertical="center"/>
    </xf>
    <xf borderId="15" fillId="0" fontId="12" numFmtId="0" xfId="0" applyAlignment="1" applyBorder="1" applyFont="1">
      <alignment horizontal="left" vertical="center"/>
    </xf>
    <xf borderId="9" fillId="0" fontId="12" numFmtId="0" xfId="0" applyAlignment="1" applyBorder="1" applyFont="1">
      <alignment horizontal="center" vertical="center"/>
    </xf>
    <xf borderId="9" fillId="0" fontId="13" numFmtId="0" xfId="0" applyAlignment="1" applyBorder="1" applyFont="1">
      <alignment shrinkToFit="0" vertical="center" wrapText="1"/>
    </xf>
    <xf borderId="0" fillId="0" fontId="14" numFmtId="0" xfId="0" applyFont="1"/>
    <xf borderId="9" fillId="0" fontId="12" numFmtId="0" xfId="0" applyAlignment="1" applyBorder="1" applyFont="1">
      <alignment horizontal="left" readingOrder="0" shrinkToFit="1" vertical="center" wrapText="0"/>
    </xf>
    <xf borderId="14" fillId="0" fontId="13" numFmtId="0" xfId="0" applyAlignment="1" applyBorder="1" applyFont="1">
      <alignment horizontal="left" shrinkToFit="0" vertical="center" wrapText="1"/>
    </xf>
    <xf borderId="23" fillId="3" fontId="5" numFmtId="0" xfId="0" applyAlignment="1" applyBorder="1" applyFont="1">
      <alignment horizontal="center"/>
    </xf>
    <xf borderId="9" fillId="0" fontId="12" numFmtId="0" xfId="0" applyAlignment="1" applyBorder="1" applyFont="1">
      <alignment horizontal="left" readingOrder="0" vertical="center"/>
    </xf>
    <xf borderId="9" fillId="0" fontId="12" numFmtId="0" xfId="0" applyAlignment="1" applyBorder="1" applyFont="1">
      <alignment horizontal="center" readingOrder="0" vertical="center"/>
    </xf>
    <xf borderId="14" fillId="0" fontId="13" numFmtId="0" xfId="0" applyAlignment="1" applyBorder="1" applyFont="1">
      <alignment horizontal="left" readingOrder="0" shrinkToFit="0" vertical="center" wrapText="1"/>
    </xf>
    <xf borderId="9" fillId="0" fontId="15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9" fillId="0" fontId="13" numFmtId="0" xfId="0" applyAlignment="1" applyBorder="1" applyFont="1">
      <alignment horizontal="left" shrinkToFit="0" vertical="center" wrapText="1"/>
    </xf>
    <xf quotePrefix="1" borderId="9" fillId="0" fontId="12" numFmtId="0" xfId="0" applyAlignment="1" applyBorder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horizontal="left" vertical="center"/>
    </xf>
    <xf borderId="0" fillId="0" fontId="12" numFmtId="0" xfId="0" applyAlignment="1" applyFont="1">
      <alignment shrinkToFit="0" vertical="center" wrapText="1"/>
    </xf>
    <xf borderId="23" fillId="3" fontId="5" numFmtId="0" xfId="0" applyBorder="1" applyFont="1"/>
    <xf borderId="9" fillId="0" fontId="15" numFmtId="0" xfId="0" applyAlignment="1" applyBorder="1" applyFont="1">
      <alignment readingOrder="0" vertical="center"/>
    </xf>
    <xf borderId="17" fillId="0" fontId="15" numFmtId="0" xfId="0" applyAlignment="1" applyBorder="1" applyFont="1">
      <alignment readingOrder="0" vertical="center"/>
    </xf>
    <xf borderId="9" fillId="0" fontId="13" numFmtId="0" xfId="0" applyAlignment="1" applyBorder="1" applyFont="1">
      <alignment readingOrder="0" shrinkToFit="0" vertical="center" wrapText="1"/>
    </xf>
    <xf borderId="0" fillId="0" fontId="16" numFmtId="0" xfId="0" applyFont="1"/>
    <xf borderId="0" fillId="0" fontId="17" numFmtId="0" xfId="0" applyFont="1"/>
    <xf borderId="0" fillId="0" fontId="18" numFmtId="0" xfId="0" applyFont="1"/>
    <xf borderId="0" fillId="0" fontId="19" numFmtId="0" xfId="0" applyFont="1"/>
    <xf borderId="15" fillId="4" fontId="20" numFmtId="0" xfId="0" applyAlignment="1" applyBorder="1" applyFill="1" applyFont="1">
      <alignment horizontal="center"/>
    </xf>
    <xf borderId="15" fillId="0" fontId="18" numFmtId="0" xfId="0" applyAlignment="1" applyBorder="1" applyFont="1">
      <alignment horizontal="center"/>
    </xf>
    <xf borderId="15" fillId="0" fontId="18" numFmtId="0" xfId="0" applyBorder="1" applyFont="1"/>
    <xf borderId="15" fillId="0" fontId="18" numFmtId="0" xfId="0" applyAlignment="1" applyBorder="1" applyFont="1">
      <alignment shrinkToFit="0" wrapText="1"/>
    </xf>
    <xf borderId="0" fillId="0" fontId="19" numFmtId="0" xfId="0" applyAlignment="1" applyFont="1">
      <alignment horizontal="center"/>
    </xf>
    <xf borderId="0" fillId="0" fontId="19" numFmtId="0" xfId="0" applyAlignment="1" applyFont="1">
      <alignment shrinkToFit="0" wrapText="1"/>
    </xf>
    <xf borderId="15" fillId="4" fontId="21" numFmtId="0" xfId="0" applyAlignment="1" applyBorder="1" applyFont="1">
      <alignment horizontal="center"/>
    </xf>
    <xf borderId="15" fillId="0" fontId="19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qiita.com/hiroshikm/items/0474d28bc8620571db3c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6" width="4.11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9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  <c r="V2" s="2"/>
      <c r="W2" s="2"/>
      <c r="X2" s="2"/>
      <c r="Y2" s="2"/>
      <c r="Z2" s="2"/>
    </row>
    <row r="3" ht="19.5" customHeight="1">
      <c r="A3" s="6"/>
      <c r="U3" s="7"/>
      <c r="V3" s="2"/>
      <c r="W3" s="2"/>
      <c r="X3" s="2"/>
      <c r="Y3" s="2"/>
      <c r="Z3" s="2"/>
    </row>
    <row r="4" ht="19.5" customHeight="1">
      <c r="A4" s="6"/>
      <c r="U4" s="7"/>
      <c r="V4" s="2"/>
      <c r="W4" s="2"/>
      <c r="X4" s="2"/>
      <c r="Y4" s="2"/>
      <c r="Z4" s="2"/>
    </row>
    <row r="5" ht="19.5" customHeight="1">
      <c r="A5" s="6"/>
      <c r="U5" s="7"/>
      <c r="V5" s="2"/>
      <c r="W5" s="2"/>
      <c r="X5" s="2"/>
      <c r="Y5" s="2"/>
      <c r="Z5" s="2"/>
    </row>
    <row r="6" ht="19.5" customHeight="1">
      <c r="A6" s="6"/>
      <c r="U6" s="7"/>
      <c r="V6" s="2"/>
      <c r="W6" s="2"/>
      <c r="X6" s="2"/>
      <c r="Y6" s="2"/>
      <c r="Z6" s="2"/>
    </row>
    <row r="7" ht="19.5" customHeight="1">
      <c r="A7" s="6"/>
      <c r="U7" s="7"/>
      <c r="V7" s="2"/>
      <c r="W7" s="2"/>
      <c r="X7" s="2"/>
      <c r="Y7" s="2"/>
      <c r="Z7" s="2"/>
    </row>
    <row r="8" ht="19.5" customHeight="1">
      <c r="A8" s="6"/>
      <c r="U8" s="7"/>
      <c r="V8" s="2"/>
      <c r="W8" s="2"/>
      <c r="X8" s="2"/>
      <c r="Y8" s="2"/>
      <c r="Z8" s="2"/>
    </row>
    <row r="9" ht="19.5" customHeight="1">
      <c r="A9" s="6"/>
      <c r="U9" s="7"/>
      <c r="V9" s="2"/>
      <c r="W9" s="2"/>
      <c r="X9" s="2"/>
      <c r="Y9" s="2"/>
      <c r="Z9" s="2"/>
    </row>
    <row r="10" ht="19.5" customHeight="1">
      <c r="A10" s="6"/>
      <c r="U10" s="7"/>
      <c r="V10" s="2"/>
      <c r="W10" s="2"/>
      <c r="X10" s="2"/>
      <c r="Y10" s="2"/>
      <c r="Z10" s="2"/>
    </row>
    <row r="11" ht="19.5" customHeight="1">
      <c r="A11" s="6"/>
      <c r="U11" s="7"/>
      <c r="V11" s="2"/>
      <c r="W11" s="2"/>
      <c r="X11" s="2"/>
      <c r="Y11" s="2"/>
      <c r="Z11" s="2"/>
    </row>
    <row r="12" ht="19.5" customHeight="1">
      <c r="A12" s="6"/>
      <c r="U12" s="7"/>
      <c r="V12" s="2"/>
      <c r="W12" s="2"/>
      <c r="X12" s="2"/>
      <c r="Y12" s="2"/>
      <c r="Z12" s="2"/>
    </row>
    <row r="13" ht="19.5" customHeight="1">
      <c r="A13" s="6"/>
      <c r="U13" s="7"/>
      <c r="V13" s="2"/>
      <c r="W13" s="2"/>
      <c r="X13" s="2"/>
      <c r="Y13" s="2"/>
      <c r="Z13" s="2"/>
    </row>
    <row r="14" ht="19.5" customHeight="1">
      <c r="A14" s="6"/>
      <c r="U14" s="7"/>
      <c r="V14" s="2"/>
      <c r="W14" s="2"/>
      <c r="X14" s="2"/>
      <c r="Y14" s="2"/>
      <c r="Z14" s="2"/>
    </row>
    <row r="15" ht="19.5" customHeight="1">
      <c r="A15" s="6"/>
      <c r="U15" s="7"/>
      <c r="V15" s="2"/>
      <c r="W15" s="2"/>
      <c r="X15" s="2"/>
      <c r="Y15" s="2"/>
      <c r="Z15" s="2"/>
    </row>
    <row r="16" ht="19.5" customHeight="1">
      <c r="A16" s="6"/>
      <c r="U16" s="7"/>
      <c r="V16" s="2"/>
      <c r="W16" s="2"/>
      <c r="X16" s="2"/>
      <c r="Y16" s="2"/>
      <c r="Z16" s="2"/>
    </row>
    <row r="17" ht="19.5" customHeight="1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10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U17"/>
  </mergeCell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33" width="2.33"/>
  </cols>
  <sheetData>
    <row r="1" ht="19.5" customHeight="1">
      <c r="A1" s="2"/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 ht="19.5" customHeight="1">
      <c r="A2" s="2"/>
      <c r="B2" s="12" t="s">
        <v>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 ht="19.5" customHeight="1">
      <c r="A3" s="2"/>
      <c r="B3" s="13" t="s">
        <v>2</v>
      </c>
      <c r="C3" s="14"/>
      <c r="D3" s="14"/>
      <c r="E3" s="15"/>
      <c r="F3" s="13" t="s">
        <v>3</v>
      </c>
      <c r="G3" s="14"/>
      <c r="H3" s="14"/>
      <c r="I3" s="15"/>
      <c r="J3" s="13" t="s">
        <v>4</v>
      </c>
      <c r="K3" s="15"/>
      <c r="L3" s="13" t="s">
        <v>5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5"/>
      <c r="AE3" s="13" t="s">
        <v>6</v>
      </c>
      <c r="AF3" s="14"/>
      <c r="AG3" s="15"/>
    </row>
    <row r="4" ht="19.5" customHeight="1">
      <c r="A4" s="2"/>
      <c r="B4" s="16">
        <v>0.01</v>
      </c>
      <c r="C4" s="14"/>
      <c r="D4" s="14"/>
      <c r="E4" s="15"/>
      <c r="F4" s="17">
        <v>46022.0</v>
      </c>
      <c r="G4" s="14"/>
      <c r="H4" s="14"/>
      <c r="I4" s="15"/>
      <c r="J4" s="18">
        <v>1.0</v>
      </c>
      <c r="K4" s="19"/>
      <c r="L4" s="20" t="s">
        <v>7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19"/>
      <c r="AE4" s="16" t="s">
        <v>8</v>
      </c>
      <c r="AF4" s="14"/>
      <c r="AG4" s="15"/>
    </row>
    <row r="5" ht="19.5" customHeight="1">
      <c r="A5" s="2"/>
      <c r="B5" s="16">
        <v>0.02</v>
      </c>
      <c r="C5" s="14"/>
      <c r="D5" s="14"/>
      <c r="E5" s="15"/>
      <c r="F5" s="22">
        <v>46022.0</v>
      </c>
      <c r="G5" s="14"/>
      <c r="H5" s="14"/>
      <c r="I5" s="15"/>
      <c r="J5" s="18">
        <v>2.0</v>
      </c>
      <c r="K5" s="19"/>
      <c r="L5" s="23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5"/>
      <c r="AE5" s="16" t="s">
        <v>8</v>
      </c>
      <c r="AF5" s="14"/>
      <c r="AG5" s="15"/>
    </row>
    <row r="6" ht="19.5" customHeight="1">
      <c r="A6" s="2"/>
      <c r="B6" s="24"/>
      <c r="C6" s="14"/>
      <c r="D6" s="14"/>
      <c r="E6" s="15"/>
      <c r="F6" s="25"/>
      <c r="G6" s="14"/>
      <c r="H6" s="14"/>
      <c r="I6" s="15"/>
      <c r="J6" s="26"/>
      <c r="K6" s="19"/>
      <c r="L6" s="27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5"/>
      <c r="AE6" s="16"/>
      <c r="AF6" s="14"/>
      <c r="AG6" s="15"/>
    </row>
    <row r="7" ht="19.5" customHeight="1">
      <c r="A7" s="2"/>
      <c r="B7" s="24"/>
      <c r="C7" s="14"/>
      <c r="D7" s="14"/>
      <c r="E7" s="15"/>
      <c r="F7" s="28"/>
      <c r="G7" s="14"/>
      <c r="H7" s="14"/>
      <c r="I7" s="15"/>
      <c r="J7" s="29"/>
      <c r="K7" s="19"/>
      <c r="L7" s="23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5"/>
      <c r="AE7" s="16"/>
      <c r="AF7" s="14"/>
      <c r="AG7" s="15"/>
    </row>
    <row r="8" ht="19.5" customHeight="1">
      <c r="A8" s="2"/>
      <c r="B8" s="16"/>
      <c r="C8" s="14"/>
      <c r="D8" s="14"/>
      <c r="E8" s="15"/>
      <c r="F8" s="28"/>
      <c r="G8" s="14"/>
      <c r="H8" s="14"/>
      <c r="I8" s="15"/>
      <c r="J8" s="29"/>
      <c r="K8" s="19"/>
      <c r="L8" s="23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  <c r="AE8" s="16"/>
      <c r="AF8" s="14"/>
      <c r="AG8" s="15"/>
    </row>
    <row r="9" ht="19.5" customHeight="1">
      <c r="A9" s="2"/>
      <c r="B9" s="16"/>
      <c r="C9" s="14"/>
      <c r="D9" s="14"/>
      <c r="E9" s="15"/>
      <c r="F9" s="28"/>
      <c r="G9" s="14"/>
      <c r="H9" s="14"/>
      <c r="I9" s="15"/>
      <c r="J9" s="29"/>
      <c r="K9" s="19"/>
      <c r="L9" s="23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5"/>
      <c r="AE9" s="16"/>
      <c r="AF9" s="14"/>
      <c r="AG9" s="15"/>
    </row>
    <row r="10" ht="19.5" customHeight="1">
      <c r="A10" s="2"/>
      <c r="B10" s="16"/>
      <c r="C10" s="14"/>
      <c r="D10" s="14"/>
      <c r="E10" s="15"/>
      <c r="F10" s="28"/>
      <c r="G10" s="14"/>
      <c r="H10" s="14"/>
      <c r="I10" s="15"/>
      <c r="J10" s="29"/>
      <c r="K10" s="19"/>
      <c r="L10" s="23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5"/>
      <c r="AE10" s="16"/>
      <c r="AF10" s="14"/>
      <c r="AG10" s="15"/>
    </row>
    <row r="11" ht="19.5" customHeight="1">
      <c r="A11" s="2"/>
      <c r="B11" s="16"/>
      <c r="C11" s="14"/>
      <c r="D11" s="14"/>
      <c r="E11" s="15"/>
      <c r="F11" s="28"/>
      <c r="G11" s="14"/>
      <c r="H11" s="14"/>
      <c r="I11" s="15"/>
      <c r="J11" s="29"/>
      <c r="K11" s="19"/>
      <c r="L11" s="23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  <c r="AE11" s="16"/>
      <c r="AF11" s="14"/>
      <c r="AG11" s="15"/>
    </row>
    <row r="12" ht="19.5" customHeight="1">
      <c r="A12" s="2"/>
      <c r="B12" s="16"/>
      <c r="C12" s="14"/>
      <c r="D12" s="14"/>
      <c r="E12" s="15"/>
      <c r="F12" s="28"/>
      <c r="G12" s="14"/>
      <c r="H12" s="14"/>
      <c r="I12" s="15"/>
      <c r="J12" s="29"/>
      <c r="K12" s="19"/>
      <c r="L12" s="23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/>
      <c r="AE12" s="16"/>
      <c r="AF12" s="14"/>
      <c r="AG12" s="15"/>
    </row>
    <row r="13" ht="19.5" customHeight="1">
      <c r="A13" s="2"/>
      <c r="B13" s="16"/>
      <c r="C13" s="14"/>
      <c r="D13" s="14"/>
      <c r="E13" s="15"/>
      <c r="F13" s="28"/>
      <c r="G13" s="14"/>
      <c r="H13" s="14"/>
      <c r="I13" s="15"/>
      <c r="J13" s="29"/>
      <c r="K13" s="19"/>
      <c r="L13" s="23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  <c r="AE13" s="16"/>
      <c r="AF13" s="14"/>
      <c r="AG13" s="15"/>
    </row>
    <row r="14" ht="19.5" customHeight="1">
      <c r="A14" s="2"/>
      <c r="B14" s="16"/>
      <c r="C14" s="14"/>
      <c r="D14" s="14"/>
      <c r="E14" s="15"/>
      <c r="F14" s="28"/>
      <c r="G14" s="14"/>
      <c r="H14" s="14"/>
      <c r="I14" s="15"/>
      <c r="J14" s="29"/>
      <c r="K14" s="19"/>
      <c r="L14" s="23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5"/>
      <c r="AE14" s="16"/>
      <c r="AF14" s="14"/>
      <c r="AG14" s="15"/>
    </row>
    <row r="15" ht="19.5" customHeight="1">
      <c r="A15" s="2"/>
      <c r="B15" s="16"/>
      <c r="C15" s="14"/>
      <c r="D15" s="14"/>
      <c r="E15" s="15"/>
      <c r="F15" s="28"/>
      <c r="G15" s="14"/>
      <c r="H15" s="14"/>
      <c r="I15" s="15"/>
      <c r="J15" s="29"/>
      <c r="K15" s="19"/>
      <c r="L15" s="23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5"/>
      <c r="AE15" s="16"/>
      <c r="AF15" s="14"/>
      <c r="AG15" s="15"/>
    </row>
    <row r="16" ht="19.5" customHeight="1">
      <c r="A16" s="2"/>
      <c r="B16" s="16"/>
      <c r="C16" s="14"/>
      <c r="D16" s="14"/>
      <c r="E16" s="15"/>
      <c r="F16" s="28"/>
      <c r="G16" s="14"/>
      <c r="H16" s="14"/>
      <c r="I16" s="15"/>
      <c r="J16" s="17"/>
      <c r="K16" s="15"/>
      <c r="L16" s="23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5"/>
      <c r="AE16" s="16"/>
      <c r="AF16" s="14"/>
      <c r="AG16" s="15"/>
    </row>
    <row r="17" ht="19.5" customHeight="1">
      <c r="A17" s="2"/>
      <c r="B17" s="16"/>
      <c r="C17" s="14"/>
      <c r="D17" s="14"/>
      <c r="E17" s="15"/>
      <c r="F17" s="28"/>
      <c r="G17" s="14"/>
      <c r="H17" s="14"/>
      <c r="I17" s="15"/>
      <c r="J17" s="17"/>
      <c r="K17" s="15"/>
      <c r="L17" s="23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5"/>
      <c r="AE17" s="16"/>
      <c r="AF17" s="14"/>
      <c r="AG17" s="15"/>
    </row>
    <row r="18" ht="19.5" customHeight="1">
      <c r="A18" s="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</row>
    <row r="19" ht="19.5" customHeight="1">
      <c r="A19" s="2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</row>
    <row r="20" ht="19.5" customHeight="1">
      <c r="A20" s="2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</row>
    <row r="21" ht="19.5" customHeight="1">
      <c r="A21" s="2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</row>
    <row r="22" ht="19.5" customHeight="1">
      <c r="A22" s="2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</row>
    <row r="23" ht="19.5" customHeight="1">
      <c r="A23" s="2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</row>
    <row r="24" ht="19.5" customHeight="1">
      <c r="A24" s="2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</row>
    <row r="25" ht="19.5" customHeight="1">
      <c r="A25" s="2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</row>
    <row r="26" ht="19.5" customHeight="1">
      <c r="A26" s="2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</row>
    <row r="27" ht="19.5" customHeight="1">
      <c r="A27" s="2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</row>
    <row r="28" ht="19.5" customHeight="1">
      <c r="A28" s="2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</row>
    <row r="29" ht="19.5" customHeight="1">
      <c r="A29" s="2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</row>
    <row r="30" ht="19.5" customHeight="1">
      <c r="A30" s="2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</row>
    <row r="31" ht="19.5" customHeight="1">
      <c r="A31" s="2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</row>
    <row r="32" ht="19.5" customHeight="1">
      <c r="A32" s="2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</row>
    <row r="33" ht="19.5" customHeight="1">
      <c r="A33" s="2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34" ht="19.5" customHeight="1">
      <c r="A34" s="2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</row>
    <row r="35" ht="19.5" customHeight="1">
      <c r="A35" s="2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</row>
    <row r="36" ht="19.5" customHeight="1">
      <c r="A36" s="2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</row>
    <row r="37" ht="19.5" customHeight="1">
      <c r="A37" s="2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</row>
    <row r="38" ht="19.5" customHeight="1">
      <c r="A38" s="2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</row>
    <row r="39" ht="19.5" customHeight="1">
      <c r="A39" s="2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</row>
    <row r="40" ht="19.5" customHeight="1">
      <c r="A40" s="2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</row>
    <row r="41" ht="19.5" customHeight="1">
      <c r="A41" s="2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</row>
    <row r="42" ht="19.5" customHeight="1">
      <c r="A42" s="2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</row>
    <row r="43" ht="19.5" customHeight="1">
      <c r="A43" s="2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</row>
    <row r="44" ht="19.5" customHeight="1">
      <c r="A44" s="2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</row>
    <row r="45" ht="19.5" customHeight="1">
      <c r="A45" s="2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</row>
    <row r="46" ht="19.5" customHeight="1">
      <c r="A46" s="2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</row>
    <row r="47" ht="19.5" customHeight="1">
      <c r="A47" s="2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</row>
    <row r="48" ht="19.5" customHeight="1">
      <c r="A48" s="2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</row>
    <row r="49" ht="19.5" customHeight="1">
      <c r="A49" s="2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</row>
    <row r="50" ht="19.5" customHeight="1">
      <c r="A50" s="2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</row>
    <row r="51" ht="19.5" customHeight="1">
      <c r="A51" s="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</row>
    <row r="52" ht="19.5" customHeight="1">
      <c r="A52" s="2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</row>
    <row r="53" ht="19.5" customHeight="1">
      <c r="A53" s="2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</row>
    <row r="54" ht="19.5" customHeight="1">
      <c r="A54" s="2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</row>
    <row r="55" ht="19.5" customHeight="1">
      <c r="A55" s="2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</row>
    <row r="56" ht="19.5" customHeight="1">
      <c r="A56" s="2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</row>
    <row r="57" ht="19.5" customHeight="1">
      <c r="A57" s="2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</row>
    <row r="58" ht="19.5" customHeight="1">
      <c r="A58" s="2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</row>
    <row r="59" ht="19.5" customHeight="1">
      <c r="A59" s="2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</row>
    <row r="60" ht="19.5" customHeight="1">
      <c r="A60" s="2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</row>
    <row r="61" ht="19.5" customHeight="1">
      <c r="A61" s="2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</row>
    <row r="62" ht="19.5" customHeight="1">
      <c r="A62" s="2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</row>
    <row r="63" ht="19.5" customHeight="1">
      <c r="A63" s="2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</row>
    <row r="64" ht="19.5" customHeight="1">
      <c r="A64" s="2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</row>
    <row r="65" ht="19.5" customHeight="1">
      <c r="A65" s="2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</row>
    <row r="66" ht="19.5" customHeight="1">
      <c r="A66" s="2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</row>
    <row r="67" ht="19.5" customHeight="1">
      <c r="A67" s="2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</row>
    <row r="68" ht="19.5" customHeight="1">
      <c r="A68" s="2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</row>
    <row r="69" ht="19.5" customHeight="1">
      <c r="A69" s="2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</row>
    <row r="70" ht="19.5" customHeight="1">
      <c r="A70" s="2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</row>
    <row r="71" ht="19.5" customHeight="1">
      <c r="A71" s="2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</row>
    <row r="72" ht="19.5" customHeight="1">
      <c r="A72" s="2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</row>
    <row r="73" ht="19.5" customHeight="1">
      <c r="A73" s="2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</row>
    <row r="74" ht="19.5" customHeight="1">
      <c r="A74" s="2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</row>
    <row r="75" ht="19.5" customHeight="1">
      <c r="A75" s="2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</row>
    <row r="76" ht="19.5" customHeight="1">
      <c r="A76" s="2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</row>
    <row r="77" ht="19.5" customHeight="1">
      <c r="A77" s="2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</row>
    <row r="78" ht="19.5" customHeight="1">
      <c r="A78" s="2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</row>
    <row r="79" ht="19.5" customHeight="1">
      <c r="A79" s="2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</row>
    <row r="80" ht="19.5" customHeight="1">
      <c r="A80" s="2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</row>
    <row r="81" ht="19.5" customHeight="1">
      <c r="A81" s="2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</row>
    <row r="82" ht="19.5" customHeight="1">
      <c r="A82" s="2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</row>
    <row r="83" ht="19.5" customHeight="1">
      <c r="A83" s="2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</row>
    <row r="84" ht="19.5" customHeight="1">
      <c r="A84" s="2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</row>
    <row r="85" ht="19.5" customHeight="1">
      <c r="A85" s="2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</row>
    <row r="86" ht="19.5" customHeight="1">
      <c r="A86" s="2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</row>
    <row r="87" ht="19.5" customHeight="1">
      <c r="A87" s="2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</row>
    <row r="88" ht="19.5" customHeight="1">
      <c r="A88" s="2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</row>
    <row r="89" ht="19.5" customHeight="1">
      <c r="A89" s="2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</row>
    <row r="90" ht="19.5" customHeight="1">
      <c r="A90" s="2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</row>
    <row r="91" ht="19.5" customHeight="1">
      <c r="A91" s="2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</row>
    <row r="92" ht="19.5" customHeight="1">
      <c r="A92" s="2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</row>
    <row r="93" ht="19.5" customHeight="1">
      <c r="A93" s="2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</row>
    <row r="94" ht="19.5" customHeight="1">
      <c r="A94" s="2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</row>
    <row r="95" ht="19.5" customHeight="1">
      <c r="A95" s="2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</row>
    <row r="96" ht="19.5" customHeight="1">
      <c r="A96" s="2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</row>
    <row r="97" ht="19.5" customHeight="1">
      <c r="A97" s="2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</row>
    <row r="98" ht="19.5" customHeight="1">
      <c r="A98" s="2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</row>
    <row r="99" ht="19.5" customHeight="1">
      <c r="A99" s="2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</row>
    <row r="100" ht="19.5" customHeight="1">
      <c r="A100" s="2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</row>
    <row r="101" ht="19.5" customHeight="1">
      <c r="A101" s="2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</row>
    <row r="102" ht="19.5" customHeight="1">
      <c r="A102" s="2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</row>
    <row r="103" ht="19.5" customHeight="1">
      <c r="A103" s="2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</row>
    <row r="104" ht="19.5" customHeight="1">
      <c r="A104" s="2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</row>
    <row r="105" ht="19.5" customHeight="1">
      <c r="A105" s="2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</row>
    <row r="106" ht="19.5" customHeight="1">
      <c r="A106" s="2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</row>
    <row r="107" ht="19.5" customHeight="1">
      <c r="A107" s="2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</row>
    <row r="108" ht="19.5" customHeight="1">
      <c r="A108" s="2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</row>
    <row r="109" ht="19.5" customHeight="1">
      <c r="A109" s="2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</row>
    <row r="110" ht="19.5" customHeight="1">
      <c r="A110" s="2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</row>
    <row r="111" ht="19.5" customHeight="1">
      <c r="A111" s="2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</row>
    <row r="112" ht="19.5" customHeight="1">
      <c r="A112" s="2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</row>
    <row r="113" ht="19.5" customHeight="1">
      <c r="A113" s="2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</row>
    <row r="114" ht="19.5" customHeight="1">
      <c r="A114" s="2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</row>
    <row r="115" ht="19.5" customHeight="1">
      <c r="A115" s="2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</row>
    <row r="116" ht="19.5" customHeight="1">
      <c r="A116" s="2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</row>
    <row r="117" ht="19.5" customHeight="1">
      <c r="A117" s="2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</row>
    <row r="118" ht="19.5" customHeight="1">
      <c r="A118" s="2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</row>
    <row r="119" ht="19.5" customHeight="1">
      <c r="A119" s="2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</row>
    <row r="120" ht="19.5" customHeight="1">
      <c r="A120" s="2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</row>
    <row r="121" ht="19.5" customHeight="1">
      <c r="A121" s="2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</row>
    <row r="122" ht="19.5" customHeight="1">
      <c r="A122" s="2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</row>
    <row r="123" ht="19.5" customHeight="1">
      <c r="A123" s="2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</row>
    <row r="124" ht="19.5" customHeight="1">
      <c r="A124" s="2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</row>
    <row r="125" ht="19.5" customHeight="1">
      <c r="A125" s="2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</row>
    <row r="126" ht="19.5" customHeight="1">
      <c r="A126" s="2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</row>
    <row r="127" ht="19.5" customHeight="1">
      <c r="A127" s="2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</row>
    <row r="128" ht="19.5" customHeight="1">
      <c r="A128" s="2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</row>
    <row r="129" ht="19.5" customHeight="1">
      <c r="A129" s="2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</row>
    <row r="130" ht="19.5" customHeight="1">
      <c r="A130" s="2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</row>
    <row r="131" ht="19.5" customHeight="1">
      <c r="A131" s="2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</row>
    <row r="132" ht="19.5" customHeight="1">
      <c r="A132" s="2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</row>
    <row r="133" ht="19.5" customHeight="1">
      <c r="A133" s="2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</row>
    <row r="134" ht="19.5" customHeight="1">
      <c r="A134" s="2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</row>
    <row r="135" ht="19.5" customHeight="1">
      <c r="A135" s="2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</row>
    <row r="136" ht="19.5" customHeight="1">
      <c r="A136" s="2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</row>
    <row r="137" ht="19.5" customHeight="1">
      <c r="A137" s="2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</row>
    <row r="138" ht="19.5" customHeight="1">
      <c r="A138" s="2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</row>
    <row r="139" ht="19.5" customHeight="1">
      <c r="A139" s="2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</row>
    <row r="140" ht="19.5" customHeight="1">
      <c r="A140" s="2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</row>
    <row r="141" ht="19.5" customHeight="1">
      <c r="A141" s="2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</row>
    <row r="142" ht="19.5" customHeight="1">
      <c r="A142" s="2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</row>
    <row r="143" ht="19.5" customHeight="1">
      <c r="A143" s="2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</row>
    <row r="144" ht="19.5" customHeight="1">
      <c r="A144" s="2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</row>
    <row r="145" ht="19.5" customHeight="1">
      <c r="A145" s="2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</row>
    <row r="146" ht="19.5" customHeight="1">
      <c r="A146" s="2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</row>
    <row r="147" ht="19.5" customHeight="1">
      <c r="A147" s="2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</row>
    <row r="148" ht="19.5" customHeight="1">
      <c r="A148" s="2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</row>
    <row r="149" ht="19.5" customHeight="1">
      <c r="A149" s="2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</row>
    <row r="150" ht="19.5" customHeight="1">
      <c r="A150" s="2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</row>
    <row r="151" ht="19.5" customHeight="1">
      <c r="A151" s="2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</row>
    <row r="152" ht="19.5" customHeight="1">
      <c r="A152" s="2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</row>
    <row r="153" ht="19.5" customHeight="1">
      <c r="A153" s="2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</row>
    <row r="154" ht="19.5" customHeight="1">
      <c r="A154" s="2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</row>
    <row r="155" ht="19.5" customHeight="1">
      <c r="A155" s="2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</row>
    <row r="156" ht="19.5" customHeight="1">
      <c r="A156" s="2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</row>
    <row r="157" ht="19.5" customHeight="1">
      <c r="A157" s="2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</row>
    <row r="158" ht="19.5" customHeight="1">
      <c r="A158" s="2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</row>
    <row r="159" ht="19.5" customHeight="1">
      <c r="A159" s="2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</row>
    <row r="160" ht="19.5" customHeight="1">
      <c r="A160" s="2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</row>
    <row r="161" ht="19.5" customHeight="1">
      <c r="A161" s="2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</row>
    <row r="162" ht="19.5" customHeight="1">
      <c r="A162" s="2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</row>
    <row r="163" ht="19.5" customHeight="1">
      <c r="A163" s="2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</row>
    <row r="164" ht="19.5" customHeight="1">
      <c r="A164" s="2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</row>
    <row r="165" ht="19.5" customHeight="1">
      <c r="A165" s="2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</row>
    <row r="166" ht="19.5" customHeight="1">
      <c r="A166" s="2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</row>
    <row r="167" ht="19.5" customHeight="1">
      <c r="A167" s="2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</row>
    <row r="168" ht="19.5" customHeight="1">
      <c r="A168" s="2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</row>
    <row r="169" ht="19.5" customHeight="1">
      <c r="A169" s="2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</row>
    <row r="170" ht="19.5" customHeight="1">
      <c r="A170" s="2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</row>
    <row r="171" ht="19.5" customHeight="1">
      <c r="A171" s="2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</row>
    <row r="172" ht="19.5" customHeight="1">
      <c r="A172" s="2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</row>
    <row r="173" ht="19.5" customHeight="1">
      <c r="A173" s="2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</row>
    <row r="174" ht="19.5" customHeight="1">
      <c r="A174" s="2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</row>
    <row r="175" ht="19.5" customHeight="1">
      <c r="A175" s="2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</row>
    <row r="176" ht="19.5" customHeight="1">
      <c r="A176" s="2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</row>
    <row r="177" ht="19.5" customHeight="1">
      <c r="A177" s="2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</row>
    <row r="178" ht="19.5" customHeight="1">
      <c r="A178" s="2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</row>
    <row r="179" ht="19.5" customHeight="1">
      <c r="A179" s="2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</row>
    <row r="180" ht="19.5" customHeight="1">
      <c r="A180" s="2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</row>
    <row r="181" ht="19.5" customHeight="1">
      <c r="A181" s="2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</row>
    <row r="182" ht="19.5" customHeight="1">
      <c r="A182" s="2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</row>
    <row r="183" ht="19.5" customHeight="1">
      <c r="A183" s="2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</row>
    <row r="184" ht="19.5" customHeight="1">
      <c r="A184" s="2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</row>
    <row r="185" ht="19.5" customHeight="1">
      <c r="A185" s="2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</row>
    <row r="186" ht="19.5" customHeight="1">
      <c r="A186" s="2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</row>
    <row r="187" ht="19.5" customHeight="1">
      <c r="A187" s="2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</row>
    <row r="188" ht="19.5" customHeight="1">
      <c r="A188" s="2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</row>
    <row r="189" ht="19.5" customHeight="1">
      <c r="A189" s="2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</row>
    <row r="190" ht="19.5" customHeight="1">
      <c r="A190" s="2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</row>
    <row r="191" ht="19.5" customHeight="1">
      <c r="A191" s="2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</row>
    <row r="192" ht="19.5" customHeight="1">
      <c r="A192" s="2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</row>
    <row r="193" ht="19.5" customHeight="1">
      <c r="A193" s="2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</row>
    <row r="194" ht="19.5" customHeight="1">
      <c r="A194" s="2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</row>
    <row r="195" ht="19.5" customHeight="1">
      <c r="A195" s="2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</row>
    <row r="196" ht="19.5" customHeight="1">
      <c r="A196" s="2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</row>
    <row r="197" ht="19.5" customHeight="1">
      <c r="A197" s="2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</row>
    <row r="198" ht="19.5" customHeight="1">
      <c r="A198" s="2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</row>
    <row r="199" ht="19.5" customHeight="1">
      <c r="A199" s="2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</row>
    <row r="200" ht="19.5" customHeight="1">
      <c r="A200" s="2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</row>
    <row r="201" ht="19.5" customHeight="1">
      <c r="A201" s="2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</row>
    <row r="202" ht="19.5" customHeight="1">
      <c r="A202" s="2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</row>
    <row r="203" ht="19.5" customHeight="1">
      <c r="A203" s="2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</row>
    <row r="204" ht="19.5" customHeight="1">
      <c r="A204" s="2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</row>
    <row r="205" ht="19.5" customHeight="1">
      <c r="A205" s="2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</row>
    <row r="206" ht="19.5" customHeight="1">
      <c r="A206" s="2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</row>
    <row r="207" ht="19.5" customHeight="1">
      <c r="A207" s="2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</row>
    <row r="208" ht="19.5" customHeight="1">
      <c r="A208" s="2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</row>
    <row r="209" ht="19.5" customHeight="1">
      <c r="A209" s="2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</row>
    <row r="210" ht="19.5" customHeight="1">
      <c r="A210" s="2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</row>
    <row r="211" ht="19.5" customHeight="1">
      <c r="A211" s="2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</row>
    <row r="212" ht="19.5" customHeight="1">
      <c r="A212" s="2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</row>
    <row r="213" ht="19.5" customHeight="1">
      <c r="A213" s="2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</row>
    <row r="214" ht="19.5" customHeight="1">
      <c r="A214" s="2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</row>
    <row r="215" ht="19.5" customHeight="1">
      <c r="A215" s="2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</row>
    <row r="216" ht="19.5" customHeight="1">
      <c r="A216" s="2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</row>
    <row r="217" ht="19.5" customHeight="1">
      <c r="A217" s="2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</row>
    <row r="218" ht="19.5" customHeight="1">
      <c r="A218" s="2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</row>
    <row r="219" ht="19.5" customHeight="1">
      <c r="A219" s="2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</row>
    <row r="220" ht="19.5" customHeight="1">
      <c r="A220" s="2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</row>
    <row r="221" ht="19.5" customHeight="1">
      <c r="A221" s="2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</row>
    <row r="222" ht="19.5" customHeight="1">
      <c r="A222" s="2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</row>
    <row r="223" ht="19.5" customHeight="1">
      <c r="A223" s="2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</row>
    <row r="224" ht="19.5" customHeight="1">
      <c r="A224" s="2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</row>
    <row r="225" ht="19.5" customHeight="1">
      <c r="A225" s="2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</row>
    <row r="226" ht="19.5" customHeight="1">
      <c r="A226" s="2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</row>
    <row r="227" ht="19.5" customHeight="1">
      <c r="A227" s="2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</row>
    <row r="228" ht="19.5" customHeight="1">
      <c r="A228" s="2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</row>
    <row r="229" ht="19.5" customHeight="1">
      <c r="A229" s="2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</row>
    <row r="230" ht="19.5" customHeight="1">
      <c r="A230" s="2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</row>
    <row r="231" ht="19.5" customHeight="1">
      <c r="A231" s="2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</row>
    <row r="232" ht="19.5" customHeight="1">
      <c r="A232" s="2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</row>
    <row r="233" ht="19.5" customHeight="1">
      <c r="A233" s="2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</row>
    <row r="234" ht="19.5" customHeight="1">
      <c r="A234" s="2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</row>
    <row r="235" ht="19.5" customHeight="1">
      <c r="A235" s="2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</row>
    <row r="236" ht="19.5" customHeight="1">
      <c r="A236" s="2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</row>
    <row r="237" ht="19.5" customHeight="1">
      <c r="A237" s="2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</row>
    <row r="238" ht="19.5" customHeight="1">
      <c r="A238" s="2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</row>
    <row r="239" ht="19.5" customHeight="1">
      <c r="A239" s="2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</row>
    <row r="240" ht="19.5" customHeight="1">
      <c r="A240" s="2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</row>
    <row r="241" ht="19.5" customHeight="1">
      <c r="A241" s="2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</row>
    <row r="242" ht="19.5" customHeight="1">
      <c r="A242" s="2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</row>
    <row r="243" ht="19.5" customHeight="1">
      <c r="A243" s="2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</row>
    <row r="244" ht="19.5" customHeight="1">
      <c r="A244" s="2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</row>
    <row r="245" ht="19.5" customHeight="1">
      <c r="A245" s="2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</row>
    <row r="246" ht="19.5" customHeight="1">
      <c r="A246" s="2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</row>
    <row r="247" ht="19.5" customHeight="1">
      <c r="A247" s="2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</row>
    <row r="248" ht="19.5" customHeight="1">
      <c r="A248" s="2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</row>
    <row r="249" ht="19.5" customHeight="1">
      <c r="A249" s="2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</row>
    <row r="250" ht="19.5" customHeight="1">
      <c r="A250" s="2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</row>
    <row r="251" ht="19.5" customHeight="1">
      <c r="A251" s="2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</row>
    <row r="252" ht="19.5" customHeight="1">
      <c r="A252" s="2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</row>
    <row r="253" ht="19.5" customHeight="1">
      <c r="A253" s="2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</row>
    <row r="254" ht="19.5" customHeight="1">
      <c r="A254" s="2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</row>
    <row r="255" ht="19.5" customHeight="1">
      <c r="A255" s="2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</row>
    <row r="256" ht="19.5" customHeight="1">
      <c r="A256" s="2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</row>
    <row r="257" ht="19.5" customHeight="1">
      <c r="A257" s="2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</row>
    <row r="258" ht="19.5" customHeight="1">
      <c r="A258" s="2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</row>
    <row r="259" ht="19.5" customHeight="1">
      <c r="A259" s="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</row>
    <row r="260" ht="19.5" customHeight="1">
      <c r="A260" s="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</row>
    <row r="261" ht="19.5" customHeight="1">
      <c r="A261" s="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</row>
    <row r="262" ht="19.5" customHeight="1">
      <c r="A262" s="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</row>
    <row r="263" ht="19.5" customHeight="1">
      <c r="A263" s="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</row>
    <row r="264" ht="19.5" customHeight="1">
      <c r="A264" s="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</row>
    <row r="265" ht="19.5" customHeight="1">
      <c r="A265" s="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</row>
    <row r="266" ht="19.5" customHeight="1">
      <c r="A266" s="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</row>
    <row r="267" ht="19.5" customHeight="1">
      <c r="A267" s="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</row>
    <row r="268" ht="19.5" customHeight="1">
      <c r="A268" s="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</row>
    <row r="269" ht="19.5" customHeight="1">
      <c r="A269" s="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</row>
    <row r="270" ht="19.5" customHeight="1">
      <c r="A270" s="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</row>
    <row r="271" ht="19.5" customHeight="1">
      <c r="A271" s="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</row>
    <row r="272" ht="19.5" customHeight="1">
      <c r="A272" s="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</row>
    <row r="273" ht="19.5" customHeight="1">
      <c r="A273" s="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</row>
    <row r="274" ht="19.5" customHeight="1">
      <c r="A274" s="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</row>
    <row r="275" ht="19.5" customHeight="1">
      <c r="A275" s="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</row>
    <row r="276" ht="19.5" customHeight="1">
      <c r="A276" s="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</row>
    <row r="277" ht="19.5" customHeight="1">
      <c r="A277" s="2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</row>
    <row r="278" ht="19.5" customHeight="1">
      <c r="A278" s="2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</row>
    <row r="279" ht="19.5" customHeight="1">
      <c r="A279" s="2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</row>
    <row r="280" ht="19.5" customHeight="1">
      <c r="A280" s="2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</row>
    <row r="281" ht="19.5" customHeight="1">
      <c r="A281" s="2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</row>
    <row r="282" ht="19.5" customHeight="1">
      <c r="A282" s="2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</row>
    <row r="283" ht="19.5" customHeight="1">
      <c r="A283" s="2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</row>
    <row r="284" ht="19.5" customHeight="1">
      <c r="A284" s="2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</row>
    <row r="285" ht="19.5" customHeight="1">
      <c r="A285" s="2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</row>
    <row r="286" ht="19.5" customHeight="1">
      <c r="A286" s="2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</row>
    <row r="287" ht="19.5" customHeight="1">
      <c r="A287" s="2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</row>
    <row r="288" ht="19.5" customHeight="1">
      <c r="A288" s="2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</row>
    <row r="289" ht="19.5" customHeight="1">
      <c r="A289" s="2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</row>
    <row r="290" ht="19.5" customHeight="1">
      <c r="A290" s="2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</row>
    <row r="291" ht="19.5" customHeight="1">
      <c r="A291" s="2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</row>
    <row r="292" ht="19.5" customHeight="1">
      <c r="A292" s="2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</row>
    <row r="293" ht="19.5" customHeight="1">
      <c r="A293" s="2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</row>
    <row r="294" ht="19.5" customHeight="1">
      <c r="A294" s="2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</row>
    <row r="295" ht="19.5" customHeight="1">
      <c r="A295" s="2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</row>
    <row r="296" ht="19.5" customHeight="1">
      <c r="A296" s="2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</row>
    <row r="297" ht="19.5" customHeight="1">
      <c r="A297" s="2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</row>
    <row r="298" ht="19.5" customHeight="1">
      <c r="A298" s="2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</row>
    <row r="299" ht="19.5" customHeight="1">
      <c r="A299" s="2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</row>
    <row r="300" ht="19.5" customHeight="1">
      <c r="A300" s="2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</row>
    <row r="301" ht="19.5" customHeight="1">
      <c r="A301" s="2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</row>
    <row r="302" ht="19.5" customHeight="1">
      <c r="A302" s="2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</row>
    <row r="303" ht="19.5" customHeight="1">
      <c r="A303" s="2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</row>
    <row r="304" ht="19.5" customHeight="1">
      <c r="A304" s="2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</row>
    <row r="305" ht="19.5" customHeight="1">
      <c r="A305" s="2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</row>
    <row r="306" ht="19.5" customHeight="1">
      <c r="A306" s="2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</row>
    <row r="307" ht="19.5" customHeight="1">
      <c r="A307" s="2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</row>
    <row r="308" ht="19.5" customHeight="1">
      <c r="A308" s="2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</row>
    <row r="309" ht="19.5" customHeight="1">
      <c r="A309" s="2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</row>
    <row r="310" ht="19.5" customHeight="1">
      <c r="A310" s="2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</row>
    <row r="311" ht="19.5" customHeight="1">
      <c r="A311" s="2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</row>
    <row r="312" ht="19.5" customHeight="1">
      <c r="A312" s="2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</row>
    <row r="313" ht="19.5" customHeight="1">
      <c r="A313" s="2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</row>
    <row r="314" ht="19.5" customHeight="1">
      <c r="A314" s="2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</row>
    <row r="315" ht="19.5" customHeight="1">
      <c r="A315" s="2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</row>
    <row r="316" ht="19.5" customHeight="1">
      <c r="A316" s="2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</row>
    <row r="317" ht="19.5" customHeight="1">
      <c r="A317" s="2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</row>
    <row r="318" ht="19.5" customHeight="1">
      <c r="A318" s="2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</row>
    <row r="319" ht="19.5" customHeight="1">
      <c r="A319" s="2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</row>
    <row r="320" ht="19.5" customHeight="1">
      <c r="A320" s="2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</row>
    <row r="321" ht="19.5" customHeight="1">
      <c r="A321" s="2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</row>
    <row r="322" ht="19.5" customHeight="1">
      <c r="A322" s="2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</row>
    <row r="323" ht="19.5" customHeight="1">
      <c r="A323" s="2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</row>
    <row r="324" ht="19.5" customHeight="1">
      <c r="A324" s="2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</row>
    <row r="325" ht="19.5" customHeight="1">
      <c r="A325" s="2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</row>
    <row r="326" ht="19.5" customHeight="1">
      <c r="A326" s="2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</row>
    <row r="327" ht="19.5" customHeight="1">
      <c r="A327" s="2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</row>
    <row r="328" ht="19.5" customHeight="1">
      <c r="A328" s="2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</row>
    <row r="329" ht="19.5" customHeight="1">
      <c r="A329" s="2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</row>
    <row r="330" ht="19.5" customHeight="1">
      <c r="A330" s="2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</row>
    <row r="331" ht="19.5" customHeight="1">
      <c r="A331" s="2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</row>
    <row r="332" ht="19.5" customHeight="1">
      <c r="A332" s="2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</row>
    <row r="333" ht="19.5" customHeight="1">
      <c r="A333" s="2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</row>
    <row r="334" ht="19.5" customHeight="1">
      <c r="A334" s="2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</row>
    <row r="335" ht="19.5" customHeight="1">
      <c r="A335" s="2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</row>
    <row r="336" ht="19.5" customHeight="1">
      <c r="A336" s="2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</row>
    <row r="337" ht="19.5" customHeight="1">
      <c r="A337" s="2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</row>
    <row r="338" ht="19.5" customHeight="1">
      <c r="A338" s="2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</row>
    <row r="339" ht="19.5" customHeight="1">
      <c r="A339" s="2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</row>
    <row r="340" ht="19.5" customHeight="1">
      <c r="A340" s="2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</row>
    <row r="341" ht="19.5" customHeight="1">
      <c r="A341" s="2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</row>
    <row r="342" ht="19.5" customHeight="1">
      <c r="A342" s="2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</row>
    <row r="343" ht="19.5" customHeight="1">
      <c r="A343" s="2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</row>
    <row r="344" ht="19.5" customHeight="1">
      <c r="A344" s="2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</row>
    <row r="345" ht="19.5" customHeight="1">
      <c r="A345" s="2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</row>
    <row r="346" ht="19.5" customHeight="1">
      <c r="A346" s="2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</row>
    <row r="347" ht="19.5" customHeight="1">
      <c r="A347" s="2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</row>
    <row r="348" ht="19.5" customHeight="1">
      <c r="A348" s="2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</row>
    <row r="349" ht="19.5" customHeight="1">
      <c r="A349" s="2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</row>
    <row r="350" ht="19.5" customHeight="1">
      <c r="A350" s="2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</row>
    <row r="351" ht="19.5" customHeight="1">
      <c r="A351" s="2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</row>
    <row r="352" ht="19.5" customHeight="1">
      <c r="A352" s="2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</row>
    <row r="353" ht="19.5" customHeight="1">
      <c r="A353" s="2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</row>
    <row r="354" ht="19.5" customHeight="1">
      <c r="A354" s="2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</row>
    <row r="355" ht="19.5" customHeight="1">
      <c r="A355" s="2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</row>
    <row r="356" ht="19.5" customHeight="1">
      <c r="A356" s="2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</row>
    <row r="357" ht="19.5" customHeight="1">
      <c r="A357" s="2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</row>
    <row r="358" ht="19.5" customHeight="1">
      <c r="A358" s="2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</row>
    <row r="359" ht="19.5" customHeight="1">
      <c r="A359" s="2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</row>
    <row r="360" ht="19.5" customHeight="1">
      <c r="A360" s="2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</row>
    <row r="361" ht="19.5" customHeight="1">
      <c r="A361" s="2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</row>
    <row r="362" ht="19.5" customHeight="1">
      <c r="A362" s="2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</row>
    <row r="363" ht="19.5" customHeight="1">
      <c r="A363" s="2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</row>
    <row r="364" ht="19.5" customHeight="1">
      <c r="A364" s="2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</row>
    <row r="365" ht="19.5" customHeight="1">
      <c r="A365" s="2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</row>
    <row r="366" ht="19.5" customHeight="1">
      <c r="A366" s="2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</row>
    <row r="367" ht="19.5" customHeight="1">
      <c r="A367" s="2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</row>
    <row r="368" ht="19.5" customHeight="1">
      <c r="A368" s="2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</row>
    <row r="369" ht="19.5" customHeight="1">
      <c r="A369" s="2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</row>
    <row r="370" ht="19.5" customHeight="1">
      <c r="A370" s="2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</row>
    <row r="371" ht="19.5" customHeight="1">
      <c r="A371" s="2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</row>
    <row r="372" ht="19.5" customHeight="1">
      <c r="A372" s="2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</row>
    <row r="373" ht="19.5" customHeight="1">
      <c r="A373" s="2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</row>
    <row r="374" ht="19.5" customHeight="1">
      <c r="A374" s="2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</row>
    <row r="375" ht="19.5" customHeight="1">
      <c r="A375" s="2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</row>
    <row r="376" ht="19.5" customHeight="1">
      <c r="A376" s="2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</row>
    <row r="377" ht="19.5" customHeight="1">
      <c r="A377" s="2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</row>
    <row r="378" ht="19.5" customHeight="1">
      <c r="A378" s="2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</row>
    <row r="379" ht="19.5" customHeight="1">
      <c r="A379" s="2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</row>
    <row r="380" ht="19.5" customHeight="1">
      <c r="A380" s="2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</row>
    <row r="381" ht="19.5" customHeight="1">
      <c r="A381" s="2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</row>
    <row r="382" ht="19.5" customHeight="1">
      <c r="A382" s="2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</row>
    <row r="383" ht="19.5" customHeight="1">
      <c r="A383" s="2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</row>
    <row r="384" ht="19.5" customHeight="1">
      <c r="A384" s="2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</row>
    <row r="385" ht="19.5" customHeight="1">
      <c r="A385" s="2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</row>
    <row r="386" ht="19.5" customHeight="1">
      <c r="A386" s="2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</row>
    <row r="387" ht="19.5" customHeight="1">
      <c r="A387" s="2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</row>
    <row r="388" ht="19.5" customHeight="1">
      <c r="A388" s="2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</row>
    <row r="389" ht="19.5" customHeight="1">
      <c r="A389" s="2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</row>
    <row r="390" ht="19.5" customHeight="1">
      <c r="A390" s="2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</row>
    <row r="391" ht="19.5" customHeight="1">
      <c r="A391" s="2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</row>
    <row r="392" ht="19.5" customHeight="1">
      <c r="A392" s="2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</row>
    <row r="393" ht="19.5" customHeight="1">
      <c r="A393" s="2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</row>
    <row r="394" ht="19.5" customHeight="1">
      <c r="A394" s="2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</row>
    <row r="395" ht="19.5" customHeight="1">
      <c r="A395" s="2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</row>
    <row r="396" ht="19.5" customHeight="1">
      <c r="A396" s="2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</row>
    <row r="397" ht="19.5" customHeight="1">
      <c r="A397" s="2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</row>
    <row r="398" ht="19.5" customHeight="1">
      <c r="A398" s="2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</row>
    <row r="399" ht="19.5" customHeight="1">
      <c r="A399" s="2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</row>
    <row r="400" ht="19.5" customHeight="1">
      <c r="A400" s="2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</row>
    <row r="401" ht="19.5" customHeight="1">
      <c r="A401" s="2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</row>
    <row r="402" ht="19.5" customHeight="1">
      <c r="A402" s="2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</row>
    <row r="403" ht="19.5" customHeight="1">
      <c r="A403" s="2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</row>
    <row r="404" ht="19.5" customHeight="1">
      <c r="A404" s="2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</row>
    <row r="405" ht="19.5" customHeight="1">
      <c r="A405" s="2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</row>
    <row r="406" ht="19.5" customHeight="1">
      <c r="A406" s="2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</row>
    <row r="407" ht="19.5" customHeight="1">
      <c r="A407" s="2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</row>
    <row r="408" ht="19.5" customHeight="1">
      <c r="A408" s="2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</row>
    <row r="409" ht="19.5" customHeight="1">
      <c r="A409" s="2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</row>
    <row r="410" ht="19.5" customHeight="1">
      <c r="A410" s="2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</row>
    <row r="411" ht="19.5" customHeight="1">
      <c r="A411" s="2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</row>
    <row r="412" ht="19.5" customHeight="1">
      <c r="A412" s="2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</row>
    <row r="413" ht="19.5" customHeight="1">
      <c r="A413" s="2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</row>
    <row r="414" ht="19.5" customHeight="1">
      <c r="A414" s="2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</row>
    <row r="415" ht="19.5" customHeight="1">
      <c r="A415" s="2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</row>
    <row r="416" ht="19.5" customHeight="1">
      <c r="A416" s="2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</row>
    <row r="417" ht="19.5" customHeight="1">
      <c r="A417" s="2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</row>
    <row r="418" ht="19.5" customHeight="1">
      <c r="A418" s="2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</row>
    <row r="419" ht="19.5" customHeight="1">
      <c r="A419" s="2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</row>
    <row r="420" ht="19.5" customHeight="1">
      <c r="A420" s="2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</row>
    <row r="421" ht="19.5" customHeight="1">
      <c r="A421" s="2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</row>
    <row r="422" ht="19.5" customHeight="1">
      <c r="A422" s="2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</row>
    <row r="423" ht="19.5" customHeight="1">
      <c r="A423" s="2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</row>
    <row r="424" ht="19.5" customHeight="1">
      <c r="A424" s="2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</row>
    <row r="425" ht="19.5" customHeight="1">
      <c r="A425" s="2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</row>
    <row r="426" ht="19.5" customHeight="1">
      <c r="A426" s="2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</row>
    <row r="427" ht="19.5" customHeight="1">
      <c r="A427" s="2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</row>
    <row r="428" ht="19.5" customHeight="1">
      <c r="A428" s="2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</row>
    <row r="429" ht="19.5" customHeight="1">
      <c r="A429" s="2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</row>
    <row r="430" ht="19.5" customHeight="1">
      <c r="A430" s="2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</row>
    <row r="431" ht="19.5" customHeight="1">
      <c r="A431" s="2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</row>
    <row r="432" ht="19.5" customHeight="1">
      <c r="A432" s="2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</row>
    <row r="433" ht="19.5" customHeight="1">
      <c r="A433" s="2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</row>
    <row r="434" ht="19.5" customHeight="1">
      <c r="A434" s="2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</row>
    <row r="435" ht="19.5" customHeight="1">
      <c r="A435" s="2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</row>
    <row r="436" ht="19.5" customHeight="1">
      <c r="A436" s="2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</row>
    <row r="437" ht="19.5" customHeight="1">
      <c r="A437" s="2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</row>
    <row r="438" ht="19.5" customHeight="1">
      <c r="A438" s="2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</row>
    <row r="439" ht="19.5" customHeight="1">
      <c r="A439" s="2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</row>
    <row r="440" ht="19.5" customHeight="1">
      <c r="A440" s="2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</row>
    <row r="441" ht="19.5" customHeight="1">
      <c r="A441" s="2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</row>
    <row r="442" ht="19.5" customHeight="1">
      <c r="A442" s="2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</row>
    <row r="443" ht="19.5" customHeight="1">
      <c r="A443" s="2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</row>
    <row r="444" ht="19.5" customHeight="1">
      <c r="A444" s="2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</row>
    <row r="445" ht="19.5" customHeight="1">
      <c r="A445" s="2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</row>
    <row r="446" ht="19.5" customHeight="1">
      <c r="A446" s="2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</row>
    <row r="447" ht="19.5" customHeight="1">
      <c r="A447" s="2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</row>
    <row r="448" ht="19.5" customHeight="1">
      <c r="A448" s="2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</row>
    <row r="449" ht="19.5" customHeight="1">
      <c r="A449" s="2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</row>
    <row r="450" ht="19.5" customHeight="1">
      <c r="A450" s="2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</row>
    <row r="451" ht="19.5" customHeight="1">
      <c r="A451" s="2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</row>
    <row r="452" ht="19.5" customHeight="1">
      <c r="A452" s="2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</row>
    <row r="453" ht="19.5" customHeight="1">
      <c r="A453" s="2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</row>
    <row r="454" ht="19.5" customHeight="1">
      <c r="A454" s="2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</row>
    <row r="455" ht="19.5" customHeight="1">
      <c r="A455" s="2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</row>
    <row r="456" ht="19.5" customHeight="1">
      <c r="A456" s="2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</row>
    <row r="457" ht="19.5" customHeight="1">
      <c r="A457" s="2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</row>
    <row r="458" ht="19.5" customHeight="1">
      <c r="A458" s="2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</row>
    <row r="459" ht="19.5" customHeight="1">
      <c r="A459" s="2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</row>
    <row r="460" ht="19.5" customHeight="1">
      <c r="A460" s="2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</row>
    <row r="461" ht="19.5" customHeight="1">
      <c r="A461" s="2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</row>
    <row r="462" ht="19.5" customHeight="1">
      <c r="A462" s="2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</row>
    <row r="463" ht="19.5" customHeight="1">
      <c r="A463" s="2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</row>
    <row r="464" ht="19.5" customHeight="1">
      <c r="A464" s="2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</row>
    <row r="465" ht="19.5" customHeight="1">
      <c r="A465" s="2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</row>
    <row r="466" ht="19.5" customHeight="1">
      <c r="A466" s="2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</row>
    <row r="467" ht="19.5" customHeight="1">
      <c r="A467" s="2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</row>
    <row r="468" ht="19.5" customHeight="1">
      <c r="A468" s="2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</row>
    <row r="469" ht="19.5" customHeight="1">
      <c r="A469" s="2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</row>
    <row r="470" ht="19.5" customHeight="1">
      <c r="A470" s="2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</row>
    <row r="471" ht="19.5" customHeight="1">
      <c r="A471" s="2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</row>
    <row r="472" ht="19.5" customHeight="1">
      <c r="A472" s="2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</row>
    <row r="473" ht="19.5" customHeight="1">
      <c r="A473" s="2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</row>
    <row r="474" ht="19.5" customHeight="1">
      <c r="A474" s="2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</row>
    <row r="475" ht="19.5" customHeight="1">
      <c r="A475" s="2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</row>
    <row r="476" ht="19.5" customHeight="1">
      <c r="A476" s="2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</row>
    <row r="477" ht="19.5" customHeight="1">
      <c r="A477" s="2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</row>
    <row r="478" ht="19.5" customHeight="1">
      <c r="A478" s="2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</row>
    <row r="479" ht="19.5" customHeight="1">
      <c r="A479" s="2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</row>
    <row r="480" ht="19.5" customHeight="1">
      <c r="A480" s="2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</row>
    <row r="481" ht="19.5" customHeight="1">
      <c r="A481" s="2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</row>
    <row r="482" ht="19.5" customHeight="1">
      <c r="A482" s="2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</row>
    <row r="483" ht="19.5" customHeight="1">
      <c r="A483" s="2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</row>
    <row r="484" ht="19.5" customHeight="1">
      <c r="A484" s="2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</row>
    <row r="485" ht="19.5" customHeight="1">
      <c r="A485" s="2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</row>
    <row r="486" ht="19.5" customHeight="1">
      <c r="A486" s="2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</row>
    <row r="487" ht="19.5" customHeight="1">
      <c r="A487" s="2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</row>
    <row r="488" ht="19.5" customHeight="1">
      <c r="A488" s="2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</row>
    <row r="489" ht="19.5" customHeight="1">
      <c r="A489" s="2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</row>
    <row r="490" ht="19.5" customHeight="1">
      <c r="A490" s="2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</row>
    <row r="491" ht="19.5" customHeight="1">
      <c r="A491" s="2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</row>
    <row r="492" ht="19.5" customHeight="1">
      <c r="A492" s="2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</row>
    <row r="493" ht="19.5" customHeight="1">
      <c r="A493" s="2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</row>
    <row r="494" ht="19.5" customHeight="1">
      <c r="A494" s="2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</row>
    <row r="495" ht="19.5" customHeight="1">
      <c r="A495" s="2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</row>
    <row r="496" ht="19.5" customHeight="1">
      <c r="A496" s="2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</row>
    <row r="497" ht="19.5" customHeight="1">
      <c r="A497" s="2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</row>
    <row r="498" ht="19.5" customHeight="1">
      <c r="A498" s="2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</row>
    <row r="499" ht="19.5" customHeight="1">
      <c r="A499" s="2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</row>
    <row r="500" ht="19.5" customHeight="1">
      <c r="A500" s="2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</row>
    <row r="501" ht="19.5" customHeight="1">
      <c r="A501" s="2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</row>
    <row r="502" ht="19.5" customHeight="1">
      <c r="A502" s="2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</row>
    <row r="503" ht="19.5" customHeight="1">
      <c r="A503" s="2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</row>
    <row r="504" ht="19.5" customHeight="1">
      <c r="A504" s="2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</row>
    <row r="505" ht="19.5" customHeight="1">
      <c r="A505" s="2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</row>
    <row r="506" ht="19.5" customHeight="1">
      <c r="A506" s="2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</row>
    <row r="507" ht="19.5" customHeight="1">
      <c r="A507" s="2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</row>
    <row r="508" ht="19.5" customHeight="1">
      <c r="A508" s="2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</row>
    <row r="509" ht="19.5" customHeight="1">
      <c r="A509" s="2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</row>
    <row r="510" ht="19.5" customHeight="1">
      <c r="A510" s="2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</row>
    <row r="511" ht="19.5" customHeight="1">
      <c r="A511" s="2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</row>
    <row r="512" ht="19.5" customHeight="1">
      <c r="A512" s="2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</row>
    <row r="513" ht="19.5" customHeight="1">
      <c r="A513" s="2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</row>
    <row r="514" ht="19.5" customHeight="1">
      <c r="A514" s="2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</row>
    <row r="515" ht="19.5" customHeight="1">
      <c r="A515" s="2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</row>
    <row r="516" ht="19.5" customHeight="1">
      <c r="A516" s="2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</row>
    <row r="517" ht="19.5" customHeight="1">
      <c r="A517" s="2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</row>
    <row r="518" ht="19.5" customHeight="1">
      <c r="A518" s="2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</row>
    <row r="519" ht="19.5" customHeight="1">
      <c r="A519" s="2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</row>
    <row r="520" ht="19.5" customHeight="1">
      <c r="A520" s="2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</row>
    <row r="521" ht="19.5" customHeight="1">
      <c r="A521" s="2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</row>
    <row r="522" ht="19.5" customHeight="1">
      <c r="A522" s="2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</row>
    <row r="523" ht="19.5" customHeight="1">
      <c r="A523" s="2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</row>
    <row r="524" ht="19.5" customHeight="1">
      <c r="A524" s="2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</row>
    <row r="525" ht="19.5" customHeight="1">
      <c r="A525" s="2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</row>
    <row r="526" ht="19.5" customHeight="1">
      <c r="A526" s="2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</row>
    <row r="527" ht="19.5" customHeight="1">
      <c r="A527" s="2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</row>
    <row r="528" ht="19.5" customHeight="1">
      <c r="A528" s="2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</row>
    <row r="529" ht="19.5" customHeight="1">
      <c r="A529" s="2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</row>
    <row r="530" ht="19.5" customHeight="1">
      <c r="A530" s="2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</row>
    <row r="531" ht="19.5" customHeight="1">
      <c r="A531" s="2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</row>
    <row r="532" ht="19.5" customHeight="1">
      <c r="A532" s="2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</row>
    <row r="533" ht="19.5" customHeight="1">
      <c r="A533" s="2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</row>
    <row r="534" ht="19.5" customHeight="1">
      <c r="A534" s="2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</row>
    <row r="535" ht="19.5" customHeight="1">
      <c r="A535" s="2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</row>
    <row r="536" ht="19.5" customHeight="1">
      <c r="A536" s="2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</row>
    <row r="537" ht="19.5" customHeight="1">
      <c r="A537" s="2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</row>
    <row r="538" ht="19.5" customHeight="1">
      <c r="A538" s="2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</row>
    <row r="539" ht="19.5" customHeight="1">
      <c r="A539" s="2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</row>
    <row r="540" ht="19.5" customHeight="1">
      <c r="A540" s="2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</row>
    <row r="541" ht="19.5" customHeight="1">
      <c r="A541" s="2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</row>
    <row r="542" ht="19.5" customHeight="1">
      <c r="A542" s="2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</row>
    <row r="543" ht="19.5" customHeight="1">
      <c r="A543" s="2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</row>
    <row r="544" ht="19.5" customHeight="1">
      <c r="A544" s="2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</row>
    <row r="545" ht="19.5" customHeight="1">
      <c r="A545" s="2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</row>
    <row r="546" ht="19.5" customHeight="1">
      <c r="A546" s="2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</row>
    <row r="547" ht="19.5" customHeight="1">
      <c r="A547" s="2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</row>
    <row r="548" ht="19.5" customHeight="1">
      <c r="A548" s="2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</row>
    <row r="549" ht="19.5" customHeight="1">
      <c r="A549" s="2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</row>
    <row r="550" ht="19.5" customHeight="1">
      <c r="A550" s="2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</row>
    <row r="551" ht="19.5" customHeight="1">
      <c r="A551" s="2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</row>
    <row r="552" ht="19.5" customHeight="1">
      <c r="A552" s="2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</row>
    <row r="553" ht="19.5" customHeight="1">
      <c r="A553" s="2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</row>
    <row r="554" ht="19.5" customHeight="1">
      <c r="A554" s="2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</row>
    <row r="555" ht="19.5" customHeight="1">
      <c r="A555" s="2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</row>
    <row r="556" ht="19.5" customHeight="1">
      <c r="A556" s="2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</row>
    <row r="557" ht="19.5" customHeight="1">
      <c r="A557" s="2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</row>
    <row r="558" ht="19.5" customHeight="1">
      <c r="A558" s="2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</row>
    <row r="559" ht="19.5" customHeight="1">
      <c r="A559" s="2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</row>
    <row r="560" ht="19.5" customHeight="1">
      <c r="A560" s="2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</row>
    <row r="561" ht="19.5" customHeight="1">
      <c r="A561" s="2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</row>
    <row r="562" ht="19.5" customHeight="1">
      <c r="A562" s="2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</row>
    <row r="563" ht="19.5" customHeight="1">
      <c r="A563" s="2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</row>
    <row r="564" ht="19.5" customHeight="1">
      <c r="A564" s="2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</row>
    <row r="565" ht="19.5" customHeight="1">
      <c r="A565" s="2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</row>
    <row r="566" ht="19.5" customHeight="1">
      <c r="A566" s="2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</row>
    <row r="567" ht="19.5" customHeight="1">
      <c r="A567" s="2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</row>
    <row r="568" ht="19.5" customHeight="1">
      <c r="A568" s="2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</row>
    <row r="569" ht="19.5" customHeight="1">
      <c r="A569" s="2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</row>
    <row r="570" ht="19.5" customHeight="1">
      <c r="A570" s="2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</row>
    <row r="571" ht="19.5" customHeight="1">
      <c r="A571" s="2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</row>
    <row r="572" ht="19.5" customHeight="1">
      <c r="A572" s="2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</row>
    <row r="573" ht="19.5" customHeight="1">
      <c r="A573" s="2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</row>
    <row r="574" ht="19.5" customHeight="1">
      <c r="A574" s="2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</row>
    <row r="575" ht="19.5" customHeight="1">
      <c r="A575" s="2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</row>
    <row r="576" ht="19.5" customHeight="1">
      <c r="A576" s="2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</row>
    <row r="577" ht="19.5" customHeight="1">
      <c r="A577" s="2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</row>
    <row r="578" ht="19.5" customHeight="1">
      <c r="A578" s="2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</row>
    <row r="579" ht="19.5" customHeight="1">
      <c r="A579" s="2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</row>
    <row r="580" ht="19.5" customHeight="1">
      <c r="A580" s="2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</row>
    <row r="581" ht="19.5" customHeight="1">
      <c r="A581" s="2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</row>
    <row r="582" ht="19.5" customHeight="1">
      <c r="A582" s="2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</row>
    <row r="583" ht="19.5" customHeight="1">
      <c r="A583" s="2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</row>
    <row r="584" ht="19.5" customHeight="1">
      <c r="A584" s="2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</row>
    <row r="585" ht="19.5" customHeight="1">
      <c r="A585" s="2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</row>
    <row r="586" ht="19.5" customHeight="1">
      <c r="A586" s="2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</row>
    <row r="587" ht="19.5" customHeight="1">
      <c r="A587" s="2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</row>
    <row r="588" ht="19.5" customHeight="1">
      <c r="A588" s="2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</row>
    <row r="589" ht="19.5" customHeight="1">
      <c r="A589" s="2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</row>
    <row r="590" ht="19.5" customHeight="1">
      <c r="A590" s="2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</row>
    <row r="591" ht="19.5" customHeight="1">
      <c r="A591" s="2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</row>
    <row r="592" ht="19.5" customHeight="1">
      <c r="A592" s="2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</row>
    <row r="593" ht="19.5" customHeight="1">
      <c r="A593" s="2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</row>
    <row r="594" ht="19.5" customHeight="1">
      <c r="A594" s="2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</row>
    <row r="595" ht="19.5" customHeight="1">
      <c r="A595" s="2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</row>
    <row r="596" ht="19.5" customHeight="1">
      <c r="A596" s="2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</row>
    <row r="597" ht="19.5" customHeight="1">
      <c r="A597" s="2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</row>
    <row r="598" ht="19.5" customHeight="1">
      <c r="A598" s="2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</row>
    <row r="599" ht="19.5" customHeight="1">
      <c r="A599" s="2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</row>
    <row r="600" ht="19.5" customHeight="1">
      <c r="A600" s="2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</row>
    <row r="601" ht="19.5" customHeight="1">
      <c r="A601" s="2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</row>
    <row r="602" ht="19.5" customHeight="1">
      <c r="A602" s="2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</row>
    <row r="603" ht="19.5" customHeight="1">
      <c r="A603" s="2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</row>
    <row r="604" ht="19.5" customHeight="1">
      <c r="A604" s="2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</row>
    <row r="605" ht="19.5" customHeight="1">
      <c r="A605" s="2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</row>
    <row r="606" ht="19.5" customHeight="1">
      <c r="A606" s="2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</row>
    <row r="607" ht="19.5" customHeight="1">
      <c r="A607" s="2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</row>
    <row r="608" ht="19.5" customHeight="1">
      <c r="A608" s="2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</row>
    <row r="609" ht="19.5" customHeight="1">
      <c r="A609" s="2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</row>
    <row r="610" ht="19.5" customHeight="1">
      <c r="A610" s="2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</row>
    <row r="611" ht="19.5" customHeight="1">
      <c r="A611" s="2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</row>
    <row r="612" ht="19.5" customHeight="1">
      <c r="A612" s="2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</row>
    <row r="613" ht="19.5" customHeight="1">
      <c r="A613" s="2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</row>
    <row r="614" ht="19.5" customHeight="1">
      <c r="A614" s="2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</row>
    <row r="615" ht="19.5" customHeight="1">
      <c r="A615" s="2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</row>
    <row r="616" ht="19.5" customHeight="1">
      <c r="A616" s="2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</row>
    <row r="617" ht="19.5" customHeight="1">
      <c r="A617" s="2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</row>
    <row r="618" ht="19.5" customHeight="1">
      <c r="A618" s="2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</row>
    <row r="619" ht="19.5" customHeight="1">
      <c r="A619" s="2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</row>
    <row r="620" ht="19.5" customHeight="1">
      <c r="A620" s="2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</row>
    <row r="621" ht="19.5" customHeight="1">
      <c r="A621" s="2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</row>
    <row r="622" ht="19.5" customHeight="1">
      <c r="A622" s="2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</row>
    <row r="623" ht="19.5" customHeight="1">
      <c r="A623" s="2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</row>
    <row r="624" ht="19.5" customHeight="1">
      <c r="A624" s="2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</row>
    <row r="625" ht="19.5" customHeight="1">
      <c r="A625" s="2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</row>
    <row r="626" ht="19.5" customHeight="1">
      <c r="A626" s="2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</row>
    <row r="627" ht="19.5" customHeight="1">
      <c r="A627" s="2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</row>
    <row r="628" ht="19.5" customHeight="1">
      <c r="A628" s="2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</row>
    <row r="629" ht="19.5" customHeight="1">
      <c r="A629" s="2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</row>
    <row r="630" ht="19.5" customHeight="1">
      <c r="A630" s="2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</row>
    <row r="631" ht="19.5" customHeight="1">
      <c r="A631" s="2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</row>
    <row r="632" ht="19.5" customHeight="1">
      <c r="A632" s="2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</row>
    <row r="633" ht="19.5" customHeight="1">
      <c r="A633" s="2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</row>
    <row r="634" ht="19.5" customHeight="1">
      <c r="A634" s="2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</row>
    <row r="635" ht="19.5" customHeight="1">
      <c r="A635" s="2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</row>
    <row r="636" ht="19.5" customHeight="1">
      <c r="A636" s="2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</row>
    <row r="637" ht="19.5" customHeight="1">
      <c r="A637" s="2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</row>
    <row r="638" ht="19.5" customHeight="1">
      <c r="A638" s="2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</row>
    <row r="639" ht="19.5" customHeight="1">
      <c r="A639" s="2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</row>
    <row r="640" ht="19.5" customHeight="1">
      <c r="A640" s="2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</row>
    <row r="641" ht="19.5" customHeight="1">
      <c r="A641" s="2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</row>
    <row r="642" ht="19.5" customHeight="1">
      <c r="A642" s="2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</row>
    <row r="643" ht="19.5" customHeight="1">
      <c r="A643" s="2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</row>
    <row r="644" ht="19.5" customHeight="1">
      <c r="A644" s="2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</row>
    <row r="645" ht="19.5" customHeight="1">
      <c r="A645" s="2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</row>
    <row r="646" ht="19.5" customHeight="1">
      <c r="A646" s="2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</row>
    <row r="647" ht="19.5" customHeight="1">
      <c r="A647" s="2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</row>
    <row r="648" ht="19.5" customHeight="1">
      <c r="A648" s="2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</row>
    <row r="649" ht="19.5" customHeight="1">
      <c r="A649" s="2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</row>
    <row r="650" ht="19.5" customHeight="1">
      <c r="A650" s="2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</row>
    <row r="651" ht="19.5" customHeight="1">
      <c r="A651" s="2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</row>
    <row r="652" ht="19.5" customHeight="1">
      <c r="A652" s="2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</row>
    <row r="653" ht="19.5" customHeight="1">
      <c r="A653" s="2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</row>
    <row r="654" ht="19.5" customHeight="1">
      <c r="A654" s="2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</row>
    <row r="655" ht="19.5" customHeight="1">
      <c r="A655" s="2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</row>
    <row r="656" ht="19.5" customHeight="1">
      <c r="A656" s="2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</row>
    <row r="657" ht="19.5" customHeight="1">
      <c r="A657" s="2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</row>
    <row r="658" ht="19.5" customHeight="1">
      <c r="A658" s="2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</row>
    <row r="659" ht="19.5" customHeight="1">
      <c r="A659" s="2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</row>
    <row r="660" ht="19.5" customHeight="1">
      <c r="A660" s="2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</row>
    <row r="661" ht="19.5" customHeight="1">
      <c r="A661" s="2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</row>
    <row r="662" ht="19.5" customHeight="1">
      <c r="A662" s="2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</row>
    <row r="663" ht="19.5" customHeight="1">
      <c r="A663" s="2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</row>
    <row r="664" ht="19.5" customHeight="1">
      <c r="A664" s="2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</row>
    <row r="665" ht="19.5" customHeight="1">
      <c r="A665" s="2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</row>
    <row r="666" ht="19.5" customHeight="1">
      <c r="A666" s="2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</row>
    <row r="667" ht="19.5" customHeight="1">
      <c r="A667" s="2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</row>
    <row r="668" ht="19.5" customHeight="1">
      <c r="A668" s="2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</row>
    <row r="669" ht="19.5" customHeight="1">
      <c r="A669" s="2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</row>
    <row r="670" ht="19.5" customHeight="1">
      <c r="A670" s="2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</row>
    <row r="671" ht="19.5" customHeight="1">
      <c r="A671" s="2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</row>
    <row r="672" ht="19.5" customHeight="1">
      <c r="A672" s="2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</row>
    <row r="673" ht="19.5" customHeight="1">
      <c r="A673" s="2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</row>
    <row r="674" ht="19.5" customHeight="1">
      <c r="A674" s="2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</row>
    <row r="675" ht="19.5" customHeight="1">
      <c r="A675" s="2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</row>
    <row r="676" ht="19.5" customHeight="1">
      <c r="A676" s="2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</row>
    <row r="677" ht="19.5" customHeight="1">
      <c r="A677" s="2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</row>
    <row r="678" ht="19.5" customHeight="1">
      <c r="A678" s="2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</row>
    <row r="679" ht="19.5" customHeight="1">
      <c r="A679" s="2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</row>
    <row r="680" ht="19.5" customHeight="1">
      <c r="A680" s="2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</row>
    <row r="681" ht="19.5" customHeight="1">
      <c r="A681" s="2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</row>
    <row r="682" ht="19.5" customHeight="1">
      <c r="A682" s="2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</row>
    <row r="683" ht="19.5" customHeight="1">
      <c r="A683" s="2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</row>
    <row r="684" ht="19.5" customHeight="1">
      <c r="A684" s="2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</row>
    <row r="685" ht="19.5" customHeight="1">
      <c r="A685" s="2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</row>
    <row r="686" ht="19.5" customHeight="1">
      <c r="A686" s="2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</row>
    <row r="687" ht="19.5" customHeight="1">
      <c r="A687" s="2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</row>
    <row r="688" ht="19.5" customHeight="1">
      <c r="A688" s="2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</row>
    <row r="689" ht="19.5" customHeight="1">
      <c r="A689" s="2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</row>
    <row r="690" ht="19.5" customHeight="1">
      <c r="A690" s="2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</row>
    <row r="691" ht="19.5" customHeight="1">
      <c r="A691" s="2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</row>
    <row r="692" ht="19.5" customHeight="1">
      <c r="A692" s="2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</row>
    <row r="693" ht="19.5" customHeight="1">
      <c r="A693" s="2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</row>
    <row r="694" ht="19.5" customHeight="1">
      <c r="A694" s="2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</row>
    <row r="695" ht="19.5" customHeight="1">
      <c r="A695" s="2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</row>
    <row r="696" ht="19.5" customHeight="1">
      <c r="A696" s="2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</row>
    <row r="697" ht="19.5" customHeight="1">
      <c r="A697" s="2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</row>
    <row r="698" ht="19.5" customHeight="1">
      <c r="A698" s="2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</row>
    <row r="699" ht="19.5" customHeight="1">
      <c r="A699" s="2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</row>
    <row r="700" ht="19.5" customHeight="1">
      <c r="A700" s="2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</row>
    <row r="701" ht="19.5" customHeight="1">
      <c r="A701" s="2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</row>
    <row r="702" ht="19.5" customHeight="1">
      <c r="A702" s="2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</row>
    <row r="703" ht="19.5" customHeight="1">
      <c r="A703" s="2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</row>
    <row r="704" ht="19.5" customHeight="1">
      <c r="A704" s="2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</row>
    <row r="705" ht="19.5" customHeight="1">
      <c r="A705" s="2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</row>
    <row r="706" ht="19.5" customHeight="1">
      <c r="A706" s="2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</row>
    <row r="707" ht="19.5" customHeight="1">
      <c r="A707" s="2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</row>
    <row r="708" ht="19.5" customHeight="1">
      <c r="A708" s="2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</row>
    <row r="709" ht="19.5" customHeight="1">
      <c r="A709" s="2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</row>
    <row r="710" ht="19.5" customHeight="1">
      <c r="A710" s="2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</row>
    <row r="711" ht="19.5" customHeight="1">
      <c r="A711" s="2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</row>
    <row r="712" ht="19.5" customHeight="1">
      <c r="A712" s="2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</row>
    <row r="713" ht="19.5" customHeight="1">
      <c r="A713" s="2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</row>
    <row r="714" ht="19.5" customHeight="1">
      <c r="A714" s="2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</row>
    <row r="715" ht="19.5" customHeight="1">
      <c r="A715" s="2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</row>
    <row r="716" ht="19.5" customHeight="1">
      <c r="A716" s="2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</row>
    <row r="717" ht="19.5" customHeight="1">
      <c r="A717" s="2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</row>
    <row r="718" ht="19.5" customHeight="1">
      <c r="A718" s="2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</row>
    <row r="719" ht="19.5" customHeight="1">
      <c r="A719" s="2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</row>
    <row r="720" ht="19.5" customHeight="1">
      <c r="A720" s="2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</row>
    <row r="721" ht="19.5" customHeight="1">
      <c r="A721" s="2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</row>
    <row r="722" ht="19.5" customHeight="1">
      <c r="A722" s="2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</row>
    <row r="723" ht="19.5" customHeight="1">
      <c r="A723" s="2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</row>
    <row r="724" ht="19.5" customHeight="1">
      <c r="A724" s="2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</row>
    <row r="725" ht="19.5" customHeight="1">
      <c r="A725" s="2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</row>
    <row r="726" ht="19.5" customHeight="1">
      <c r="A726" s="2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</row>
    <row r="727" ht="19.5" customHeight="1">
      <c r="A727" s="2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</row>
    <row r="728" ht="19.5" customHeight="1">
      <c r="A728" s="2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</row>
    <row r="729" ht="19.5" customHeight="1">
      <c r="A729" s="2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</row>
    <row r="730" ht="19.5" customHeight="1">
      <c r="A730" s="2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</row>
    <row r="731" ht="19.5" customHeight="1">
      <c r="A731" s="2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</row>
    <row r="732" ht="19.5" customHeight="1">
      <c r="A732" s="2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</row>
    <row r="733" ht="19.5" customHeight="1">
      <c r="A733" s="2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</row>
    <row r="734" ht="19.5" customHeight="1">
      <c r="A734" s="2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</row>
    <row r="735" ht="19.5" customHeight="1">
      <c r="A735" s="2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</row>
    <row r="736" ht="19.5" customHeight="1">
      <c r="A736" s="2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</row>
    <row r="737" ht="19.5" customHeight="1">
      <c r="A737" s="2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</row>
    <row r="738" ht="19.5" customHeight="1">
      <c r="A738" s="2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</row>
    <row r="739" ht="19.5" customHeight="1">
      <c r="A739" s="2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</row>
    <row r="740" ht="19.5" customHeight="1">
      <c r="A740" s="2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</row>
    <row r="741" ht="19.5" customHeight="1">
      <c r="A741" s="2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</row>
    <row r="742" ht="19.5" customHeight="1">
      <c r="A742" s="2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</row>
    <row r="743" ht="19.5" customHeight="1">
      <c r="A743" s="2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</row>
    <row r="744" ht="19.5" customHeight="1">
      <c r="A744" s="2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</row>
    <row r="745" ht="19.5" customHeight="1">
      <c r="A745" s="2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</row>
    <row r="746" ht="19.5" customHeight="1">
      <c r="A746" s="2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</row>
    <row r="747" ht="19.5" customHeight="1">
      <c r="A747" s="2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</row>
    <row r="748" ht="19.5" customHeight="1">
      <c r="A748" s="2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</row>
    <row r="749" ht="19.5" customHeight="1">
      <c r="A749" s="2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</row>
    <row r="750" ht="19.5" customHeight="1">
      <c r="A750" s="2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</row>
    <row r="751" ht="19.5" customHeight="1">
      <c r="A751" s="2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</row>
    <row r="752" ht="19.5" customHeight="1">
      <c r="A752" s="2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</row>
    <row r="753" ht="19.5" customHeight="1">
      <c r="A753" s="2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</row>
    <row r="754" ht="19.5" customHeight="1">
      <c r="A754" s="2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</row>
    <row r="755" ht="19.5" customHeight="1">
      <c r="A755" s="2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</row>
    <row r="756" ht="19.5" customHeight="1">
      <c r="A756" s="2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</row>
    <row r="757" ht="19.5" customHeight="1">
      <c r="A757" s="2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</row>
    <row r="758" ht="19.5" customHeight="1">
      <c r="A758" s="2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</row>
    <row r="759" ht="19.5" customHeight="1">
      <c r="A759" s="2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</row>
    <row r="760" ht="19.5" customHeight="1">
      <c r="A760" s="2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</row>
    <row r="761" ht="19.5" customHeight="1">
      <c r="A761" s="2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</row>
    <row r="762" ht="19.5" customHeight="1">
      <c r="A762" s="2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</row>
    <row r="763" ht="19.5" customHeight="1">
      <c r="A763" s="2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</row>
    <row r="764" ht="19.5" customHeight="1">
      <c r="A764" s="2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</row>
    <row r="765" ht="19.5" customHeight="1">
      <c r="A765" s="2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</row>
    <row r="766" ht="19.5" customHeight="1">
      <c r="A766" s="2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</row>
    <row r="767" ht="19.5" customHeight="1">
      <c r="A767" s="2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</row>
    <row r="768" ht="19.5" customHeight="1">
      <c r="A768" s="2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</row>
    <row r="769" ht="19.5" customHeight="1">
      <c r="A769" s="2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</row>
    <row r="770" ht="19.5" customHeight="1">
      <c r="A770" s="2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</row>
    <row r="771" ht="19.5" customHeight="1">
      <c r="A771" s="2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</row>
    <row r="772" ht="19.5" customHeight="1">
      <c r="A772" s="2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</row>
    <row r="773" ht="19.5" customHeight="1">
      <c r="A773" s="2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</row>
    <row r="774" ht="19.5" customHeight="1">
      <c r="A774" s="2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</row>
    <row r="775" ht="19.5" customHeight="1">
      <c r="A775" s="2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</row>
    <row r="776" ht="19.5" customHeight="1">
      <c r="A776" s="2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</row>
    <row r="777" ht="19.5" customHeight="1">
      <c r="A777" s="2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</row>
    <row r="778" ht="19.5" customHeight="1">
      <c r="A778" s="2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</row>
    <row r="779" ht="19.5" customHeight="1">
      <c r="A779" s="2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</row>
    <row r="780" ht="19.5" customHeight="1">
      <c r="A780" s="2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</row>
    <row r="781" ht="19.5" customHeight="1">
      <c r="A781" s="2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</row>
    <row r="782" ht="19.5" customHeight="1">
      <c r="A782" s="2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</row>
    <row r="783" ht="19.5" customHeight="1">
      <c r="A783" s="2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</row>
    <row r="784" ht="19.5" customHeight="1">
      <c r="A784" s="2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</row>
    <row r="785" ht="19.5" customHeight="1">
      <c r="A785" s="2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</row>
    <row r="786" ht="19.5" customHeight="1">
      <c r="A786" s="2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</row>
    <row r="787" ht="19.5" customHeight="1">
      <c r="A787" s="2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</row>
    <row r="788" ht="19.5" customHeight="1">
      <c r="A788" s="2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</row>
    <row r="789" ht="19.5" customHeight="1">
      <c r="A789" s="2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</row>
    <row r="790" ht="19.5" customHeight="1">
      <c r="A790" s="2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</row>
    <row r="791" ht="19.5" customHeight="1">
      <c r="A791" s="2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</row>
    <row r="792" ht="19.5" customHeight="1">
      <c r="A792" s="2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</row>
    <row r="793" ht="19.5" customHeight="1">
      <c r="A793" s="2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</row>
    <row r="794" ht="19.5" customHeight="1">
      <c r="A794" s="2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</row>
    <row r="795" ht="19.5" customHeight="1">
      <c r="A795" s="2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</row>
    <row r="796" ht="19.5" customHeight="1">
      <c r="A796" s="2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</row>
    <row r="797" ht="19.5" customHeight="1">
      <c r="A797" s="2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</row>
    <row r="798" ht="19.5" customHeight="1">
      <c r="A798" s="2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</row>
    <row r="799" ht="19.5" customHeight="1">
      <c r="A799" s="2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</row>
    <row r="800" ht="19.5" customHeight="1">
      <c r="A800" s="2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</row>
    <row r="801" ht="19.5" customHeight="1">
      <c r="A801" s="2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</row>
    <row r="802" ht="19.5" customHeight="1">
      <c r="A802" s="2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</row>
    <row r="803" ht="19.5" customHeight="1">
      <c r="A803" s="2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</row>
    <row r="804" ht="19.5" customHeight="1">
      <c r="A804" s="2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</row>
    <row r="805" ht="19.5" customHeight="1">
      <c r="A805" s="2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</row>
    <row r="806" ht="19.5" customHeight="1">
      <c r="A806" s="2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</row>
    <row r="807" ht="19.5" customHeight="1">
      <c r="A807" s="2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</row>
    <row r="808" ht="19.5" customHeight="1">
      <c r="A808" s="2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</row>
    <row r="809" ht="19.5" customHeight="1">
      <c r="A809" s="2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</row>
    <row r="810" ht="19.5" customHeight="1">
      <c r="A810" s="2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</row>
    <row r="811" ht="19.5" customHeight="1">
      <c r="A811" s="2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</row>
    <row r="812" ht="19.5" customHeight="1">
      <c r="A812" s="2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</row>
    <row r="813" ht="19.5" customHeight="1">
      <c r="A813" s="2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</row>
    <row r="814" ht="19.5" customHeight="1">
      <c r="A814" s="2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</row>
    <row r="815" ht="19.5" customHeight="1">
      <c r="A815" s="2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</row>
    <row r="816" ht="19.5" customHeight="1">
      <c r="A816" s="2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</row>
    <row r="817" ht="19.5" customHeight="1">
      <c r="A817" s="2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</row>
    <row r="818" ht="19.5" customHeight="1">
      <c r="A818" s="2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</row>
    <row r="819" ht="19.5" customHeight="1">
      <c r="A819" s="2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</row>
    <row r="820" ht="19.5" customHeight="1">
      <c r="A820" s="2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</row>
    <row r="821" ht="19.5" customHeight="1">
      <c r="A821" s="2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</row>
    <row r="822" ht="19.5" customHeight="1">
      <c r="A822" s="2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</row>
    <row r="823" ht="19.5" customHeight="1">
      <c r="A823" s="2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</row>
    <row r="824" ht="19.5" customHeight="1">
      <c r="A824" s="2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</row>
    <row r="825" ht="19.5" customHeight="1">
      <c r="A825" s="2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</row>
    <row r="826" ht="19.5" customHeight="1">
      <c r="A826" s="2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</row>
    <row r="827" ht="19.5" customHeight="1">
      <c r="A827" s="2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</row>
    <row r="828" ht="19.5" customHeight="1">
      <c r="A828" s="2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</row>
    <row r="829" ht="19.5" customHeight="1">
      <c r="A829" s="2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</row>
    <row r="830" ht="19.5" customHeight="1">
      <c r="A830" s="2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</row>
    <row r="831" ht="19.5" customHeight="1">
      <c r="A831" s="2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</row>
    <row r="832" ht="19.5" customHeight="1">
      <c r="A832" s="2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</row>
    <row r="833" ht="19.5" customHeight="1">
      <c r="A833" s="2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</row>
    <row r="834" ht="19.5" customHeight="1">
      <c r="A834" s="2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</row>
    <row r="835" ht="19.5" customHeight="1">
      <c r="A835" s="2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</row>
    <row r="836" ht="19.5" customHeight="1">
      <c r="A836" s="2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</row>
    <row r="837" ht="19.5" customHeight="1">
      <c r="A837" s="2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</row>
    <row r="838" ht="19.5" customHeight="1">
      <c r="A838" s="2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</row>
    <row r="839" ht="19.5" customHeight="1">
      <c r="A839" s="2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</row>
    <row r="840" ht="19.5" customHeight="1">
      <c r="A840" s="2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</row>
    <row r="841" ht="19.5" customHeight="1">
      <c r="A841" s="2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</row>
    <row r="842" ht="19.5" customHeight="1">
      <c r="A842" s="2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</row>
    <row r="843" ht="19.5" customHeight="1">
      <c r="A843" s="2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</row>
    <row r="844" ht="19.5" customHeight="1">
      <c r="A844" s="2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</row>
    <row r="845" ht="19.5" customHeight="1">
      <c r="A845" s="2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</row>
    <row r="846" ht="19.5" customHeight="1">
      <c r="A846" s="2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</row>
    <row r="847" ht="19.5" customHeight="1">
      <c r="A847" s="2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</row>
    <row r="848" ht="19.5" customHeight="1">
      <c r="A848" s="2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</row>
    <row r="849" ht="19.5" customHeight="1">
      <c r="A849" s="2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</row>
    <row r="850" ht="19.5" customHeight="1">
      <c r="A850" s="2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</row>
    <row r="851" ht="19.5" customHeight="1">
      <c r="A851" s="2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</row>
    <row r="852" ht="19.5" customHeight="1">
      <c r="A852" s="2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</row>
    <row r="853" ht="19.5" customHeight="1">
      <c r="A853" s="2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</row>
    <row r="854" ht="19.5" customHeight="1">
      <c r="A854" s="2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</row>
    <row r="855" ht="19.5" customHeight="1">
      <c r="A855" s="2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</row>
    <row r="856" ht="19.5" customHeight="1">
      <c r="A856" s="2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</row>
    <row r="857" ht="19.5" customHeight="1">
      <c r="A857" s="2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</row>
    <row r="858" ht="19.5" customHeight="1">
      <c r="A858" s="2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</row>
    <row r="859" ht="19.5" customHeight="1">
      <c r="A859" s="2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</row>
    <row r="860" ht="19.5" customHeight="1">
      <c r="A860" s="2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</row>
    <row r="861" ht="19.5" customHeight="1">
      <c r="A861" s="2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</row>
    <row r="862" ht="19.5" customHeight="1">
      <c r="A862" s="2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</row>
    <row r="863" ht="19.5" customHeight="1">
      <c r="A863" s="2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</row>
    <row r="864" ht="19.5" customHeight="1">
      <c r="A864" s="2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</row>
    <row r="865" ht="19.5" customHeight="1">
      <c r="A865" s="2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</row>
    <row r="866" ht="19.5" customHeight="1">
      <c r="A866" s="2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</row>
    <row r="867" ht="19.5" customHeight="1">
      <c r="A867" s="2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</row>
    <row r="868" ht="19.5" customHeight="1">
      <c r="A868" s="2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</row>
    <row r="869" ht="19.5" customHeight="1">
      <c r="A869" s="2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</row>
    <row r="870" ht="19.5" customHeight="1">
      <c r="A870" s="2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</row>
    <row r="871" ht="19.5" customHeight="1">
      <c r="A871" s="2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</row>
    <row r="872" ht="19.5" customHeight="1">
      <c r="A872" s="2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</row>
    <row r="873" ht="19.5" customHeight="1">
      <c r="A873" s="2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</row>
    <row r="874" ht="19.5" customHeight="1">
      <c r="A874" s="2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</row>
    <row r="875" ht="19.5" customHeight="1">
      <c r="A875" s="2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</row>
    <row r="876" ht="19.5" customHeight="1">
      <c r="A876" s="2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</row>
    <row r="877" ht="19.5" customHeight="1">
      <c r="A877" s="2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</row>
    <row r="878" ht="19.5" customHeight="1">
      <c r="A878" s="2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</row>
    <row r="879" ht="19.5" customHeight="1">
      <c r="A879" s="2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</row>
    <row r="880" ht="19.5" customHeight="1">
      <c r="A880" s="2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</row>
    <row r="881" ht="19.5" customHeight="1">
      <c r="A881" s="2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</row>
    <row r="882" ht="19.5" customHeight="1">
      <c r="A882" s="2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</row>
    <row r="883" ht="19.5" customHeight="1">
      <c r="A883" s="2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</row>
    <row r="884" ht="19.5" customHeight="1">
      <c r="A884" s="2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</row>
    <row r="885" ht="19.5" customHeight="1">
      <c r="A885" s="2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</row>
    <row r="886" ht="19.5" customHeight="1">
      <c r="A886" s="2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</row>
    <row r="887" ht="19.5" customHeight="1">
      <c r="A887" s="2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</row>
    <row r="888" ht="19.5" customHeight="1">
      <c r="A888" s="2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</row>
    <row r="889" ht="19.5" customHeight="1">
      <c r="A889" s="2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</row>
    <row r="890" ht="19.5" customHeight="1">
      <c r="A890" s="2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</row>
    <row r="891" ht="19.5" customHeight="1">
      <c r="A891" s="2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</row>
    <row r="892" ht="19.5" customHeight="1">
      <c r="A892" s="2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</row>
    <row r="893" ht="19.5" customHeight="1">
      <c r="A893" s="2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</row>
    <row r="894" ht="19.5" customHeight="1">
      <c r="A894" s="2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</row>
    <row r="895" ht="19.5" customHeight="1">
      <c r="A895" s="2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</row>
    <row r="896" ht="19.5" customHeight="1">
      <c r="A896" s="2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</row>
    <row r="897" ht="19.5" customHeight="1">
      <c r="A897" s="2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</row>
    <row r="898" ht="19.5" customHeight="1">
      <c r="A898" s="2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</row>
    <row r="899" ht="19.5" customHeight="1">
      <c r="A899" s="2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</row>
    <row r="900" ht="19.5" customHeight="1">
      <c r="A900" s="2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</row>
    <row r="901" ht="19.5" customHeight="1">
      <c r="A901" s="2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</row>
    <row r="902" ht="19.5" customHeight="1">
      <c r="A902" s="2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</row>
    <row r="903" ht="19.5" customHeight="1">
      <c r="A903" s="2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</row>
    <row r="904" ht="19.5" customHeight="1">
      <c r="A904" s="2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</row>
    <row r="905" ht="19.5" customHeight="1">
      <c r="A905" s="2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</row>
    <row r="906" ht="19.5" customHeight="1">
      <c r="A906" s="2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</row>
    <row r="907" ht="19.5" customHeight="1">
      <c r="A907" s="2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</row>
    <row r="908" ht="19.5" customHeight="1">
      <c r="A908" s="2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</row>
    <row r="909" ht="19.5" customHeight="1">
      <c r="A909" s="2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</row>
    <row r="910" ht="19.5" customHeight="1">
      <c r="A910" s="2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</row>
    <row r="911" ht="19.5" customHeight="1">
      <c r="A911" s="2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</row>
    <row r="912" ht="19.5" customHeight="1">
      <c r="A912" s="2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</row>
    <row r="913" ht="19.5" customHeight="1">
      <c r="A913" s="2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</row>
    <row r="914" ht="19.5" customHeight="1">
      <c r="A914" s="2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</row>
    <row r="915" ht="19.5" customHeight="1">
      <c r="A915" s="2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</row>
    <row r="916" ht="19.5" customHeight="1">
      <c r="A916" s="2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</row>
    <row r="917" ht="19.5" customHeight="1">
      <c r="A917" s="2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</row>
    <row r="918" ht="19.5" customHeight="1">
      <c r="A918" s="2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</row>
    <row r="919" ht="19.5" customHeight="1">
      <c r="A919" s="2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</row>
    <row r="920" ht="19.5" customHeight="1">
      <c r="A920" s="2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</row>
    <row r="921" ht="19.5" customHeight="1">
      <c r="A921" s="2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</row>
    <row r="922" ht="19.5" customHeight="1">
      <c r="A922" s="2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</row>
    <row r="923" ht="19.5" customHeight="1">
      <c r="A923" s="2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</row>
    <row r="924" ht="19.5" customHeight="1">
      <c r="A924" s="2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</row>
    <row r="925" ht="19.5" customHeight="1">
      <c r="A925" s="2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</row>
    <row r="926" ht="19.5" customHeight="1">
      <c r="A926" s="2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</row>
    <row r="927" ht="19.5" customHeight="1">
      <c r="A927" s="2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</row>
    <row r="928" ht="19.5" customHeight="1">
      <c r="A928" s="2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</row>
    <row r="929" ht="19.5" customHeight="1">
      <c r="A929" s="2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</row>
    <row r="930" ht="19.5" customHeight="1">
      <c r="A930" s="2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</row>
    <row r="931" ht="19.5" customHeight="1">
      <c r="A931" s="2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</row>
    <row r="932" ht="19.5" customHeight="1">
      <c r="A932" s="2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</row>
    <row r="933" ht="19.5" customHeight="1">
      <c r="A933" s="2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</row>
    <row r="934" ht="19.5" customHeight="1">
      <c r="A934" s="2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</row>
    <row r="935" ht="19.5" customHeight="1">
      <c r="A935" s="2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</row>
    <row r="936" ht="19.5" customHeight="1">
      <c r="A936" s="2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</row>
    <row r="937" ht="19.5" customHeight="1">
      <c r="A937" s="2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</row>
    <row r="938" ht="19.5" customHeight="1">
      <c r="A938" s="2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</row>
    <row r="939" ht="19.5" customHeight="1">
      <c r="A939" s="2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</row>
    <row r="940" ht="19.5" customHeight="1">
      <c r="A940" s="2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</row>
    <row r="941" ht="19.5" customHeight="1">
      <c r="A941" s="2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</row>
    <row r="942" ht="19.5" customHeight="1">
      <c r="A942" s="2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</row>
    <row r="943" ht="19.5" customHeight="1">
      <c r="A943" s="2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</row>
    <row r="944" ht="19.5" customHeight="1">
      <c r="A944" s="2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</row>
    <row r="945" ht="19.5" customHeight="1">
      <c r="A945" s="2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</row>
    <row r="946" ht="19.5" customHeight="1">
      <c r="A946" s="2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</row>
    <row r="947" ht="19.5" customHeight="1">
      <c r="A947" s="2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</row>
    <row r="948" ht="19.5" customHeight="1">
      <c r="A948" s="2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</row>
    <row r="949" ht="19.5" customHeight="1">
      <c r="A949" s="2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</row>
    <row r="950" ht="19.5" customHeight="1">
      <c r="A950" s="2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</row>
    <row r="951" ht="19.5" customHeight="1">
      <c r="A951" s="2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</row>
    <row r="952" ht="19.5" customHeight="1">
      <c r="A952" s="2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</row>
    <row r="953" ht="19.5" customHeight="1">
      <c r="A953" s="2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</row>
    <row r="954" ht="19.5" customHeight="1">
      <c r="A954" s="2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</row>
    <row r="955" ht="19.5" customHeight="1">
      <c r="A955" s="2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</row>
    <row r="956" ht="19.5" customHeight="1">
      <c r="A956" s="2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</row>
    <row r="957" ht="19.5" customHeight="1">
      <c r="A957" s="2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</row>
    <row r="958" ht="19.5" customHeight="1">
      <c r="A958" s="2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</row>
    <row r="959" ht="19.5" customHeight="1">
      <c r="A959" s="2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</row>
    <row r="960" ht="19.5" customHeight="1">
      <c r="A960" s="2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</row>
    <row r="961" ht="19.5" customHeight="1">
      <c r="A961" s="2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</row>
    <row r="962" ht="19.5" customHeight="1">
      <c r="A962" s="2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</row>
    <row r="963" ht="19.5" customHeight="1">
      <c r="A963" s="2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</row>
    <row r="964" ht="19.5" customHeight="1">
      <c r="A964" s="2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</row>
    <row r="965" ht="19.5" customHeight="1">
      <c r="A965" s="2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</row>
    <row r="966" ht="19.5" customHeight="1">
      <c r="A966" s="2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</row>
    <row r="967" ht="19.5" customHeight="1">
      <c r="A967" s="2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</row>
    <row r="968" ht="19.5" customHeight="1">
      <c r="A968" s="2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</row>
    <row r="969" ht="19.5" customHeight="1">
      <c r="A969" s="2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</row>
    <row r="970" ht="19.5" customHeight="1">
      <c r="A970" s="2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</row>
    <row r="971" ht="19.5" customHeight="1">
      <c r="A971" s="2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</row>
    <row r="972" ht="19.5" customHeight="1">
      <c r="A972" s="2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</row>
    <row r="973" ht="19.5" customHeight="1">
      <c r="A973" s="2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</row>
    <row r="974" ht="19.5" customHeight="1">
      <c r="A974" s="2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</row>
    <row r="975" ht="19.5" customHeight="1">
      <c r="A975" s="2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</row>
    <row r="976" ht="19.5" customHeight="1">
      <c r="A976" s="2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</row>
    <row r="977" ht="19.5" customHeight="1">
      <c r="A977" s="2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</row>
    <row r="978" ht="19.5" customHeight="1">
      <c r="A978" s="2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</row>
    <row r="979" ht="19.5" customHeight="1">
      <c r="A979" s="2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</row>
    <row r="980" ht="19.5" customHeight="1">
      <c r="A980" s="2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</row>
    <row r="981" ht="19.5" customHeight="1">
      <c r="A981" s="2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</row>
    <row r="982" ht="19.5" customHeight="1">
      <c r="A982" s="2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</row>
    <row r="983" ht="19.5" customHeight="1">
      <c r="A983" s="2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</row>
    <row r="984" ht="19.5" customHeight="1">
      <c r="A984" s="2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</row>
    <row r="985" ht="19.5" customHeight="1">
      <c r="A985" s="2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</row>
    <row r="986" ht="19.5" customHeight="1">
      <c r="A986" s="2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</row>
    <row r="987" ht="19.5" customHeight="1">
      <c r="A987" s="2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</row>
    <row r="988" ht="19.5" customHeight="1">
      <c r="A988" s="2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</row>
    <row r="989" ht="19.5" customHeight="1">
      <c r="A989" s="2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</row>
    <row r="990" ht="19.5" customHeight="1">
      <c r="A990" s="2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</row>
    <row r="991" ht="19.5" customHeight="1">
      <c r="A991" s="2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</row>
    <row r="992" ht="19.5" customHeight="1">
      <c r="A992" s="2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</row>
    <row r="993" ht="19.5" customHeight="1">
      <c r="A993" s="2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</row>
    <row r="994" ht="19.5" customHeight="1">
      <c r="A994" s="2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</row>
    <row r="995" ht="19.5" customHeight="1">
      <c r="A995" s="2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</row>
    <row r="996" ht="19.5" customHeight="1">
      <c r="A996" s="2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</row>
    <row r="997" ht="19.5" customHeight="1">
      <c r="A997" s="2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</row>
    <row r="998" ht="19.5" customHeight="1">
      <c r="A998" s="2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</row>
    <row r="999" ht="19.5" customHeight="1">
      <c r="A999" s="2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</row>
    <row r="1000" ht="19.5" customHeight="1">
      <c r="A1000" s="2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</row>
  </sheetData>
  <mergeCells count="75">
    <mergeCell ref="J10:K10"/>
    <mergeCell ref="L10:AD10"/>
    <mergeCell ref="L11:AD11"/>
    <mergeCell ref="AE11:AG11"/>
    <mergeCell ref="L12:AD12"/>
    <mergeCell ref="AE12:AG12"/>
    <mergeCell ref="B10:E10"/>
    <mergeCell ref="B11:E11"/>
    <mergeCell ref="F11:I11"/>
    <mergeCell ref="J11:K11"/>
    <mergeCell ref="B12:E12"/>
    <mergeCell ref="F12:I12"/>
    <mergeCell ref="J12:K12"/>
    <mergeCell ref="J14:K14"/>
    <mergeCell ref="L14:AD14"/>
    <mergeCell ref="B13:E13"/>
    <mergeCell ref="F13:I13"/>
    <mergeCell ref="J13:K13"/>
    <mergeCell ref="L13:AD13"/>
    <mergeCell ref="AE13:AG13"/>
    <mergeCell ref="F14:I14"/>
    <mergeCell ref="AE14:AG14"/>
    <mergeCell ref="L16:AD16"/>
    <mergeCell ref="AE16:AG16"/>
    <mergeCell ref="B14:E14"/>
    <mergeCell ref="B15:E15"/>
    <mergeCell ref="F15:I15"/>
    <mergeCell ref="J15:K15"/>
    <mergeCell ref="L15:AD15"/>
    <mergeCell ref="AE15:AG15"/>
    <mergeCell ref="B16:E16"/>
    <mergeCell ref="J4:K4"/>
    <mergeCell ref="L4:AD4"/>
    <mergeCell ref="L5:AD5"/>
    <mergeCell ref="AE5:AG5"/>
    <mergeCell ref="L6:AD6"/>
    <mergeCell ref="AE6:AG6"/>
    <mergeCell ref="B3:E3"/>
    <mergeCell ref="F3:I3"/>
    <mergeCell ref="J3:K3"/>
    <mergeCell ref="L3:AD3"/>
    <mergeCell ref="AE3:AG3"/>
    <mergeCell ref="F4:I4"/>
    <mergeCell ref="AE4:AG4"/>
    <mergeCell ref="B7:E7"/>
    <mergeCell ref="F7:I7"/>
    <mergeCell ref="J7:K7"/>
    <mergeCell ref="L7:AD7"/>
    <mergeCell ref="AE7:AG7"/>
    <mergeCell ref="B8:E8"/>
    <mergeCell ref="F8:I8"/>
    <mergeCell ref="J8:K8"/>
    <mergeCell ref="L8:AD8"/>
    <mergeCell ref="AE8:AG8"/>
    <mergeCell ref="B4:E4"/>
    <mergeCell ref="B5:E5"/>
    <mergeCell ref="F5:I5"/>
    <mergeCell ref="J5:K5"/>
    <mergeCell ref="B6:E6"/>
    <mergeCell ref="F6:I6"/>
    <mergeCell ref="J6:K6"/>
    <mergeCell ref="B9:E9"/>
    <mergeCell ref="F9:I9"/>
    <mergeCell ref="J9:K9"/>
    <mergeCell ref="L9:AD9"/>
    <mergeCell ref="AE9:AG9"/>
    <mergeCell ref="F10:I10"/>
    <mergeCell ref="AE10:AG10"/>
    <mergeCell ref="F16:I16"/>
    <mergeCell ref="J16:K16"/>
    <mergeCell ref="B17:E17"/>
    <mergeCell ref="F17:I17"/>
    <mergeCell ref="J17:K17"/>
    <mergeCell ref="L17:AD17"/>
    <mergeCell ref="AE17:AG17"/>
  </mergeCell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32" width="2.33"/>
  </cols>
  <sheetData>
    <row r="1" ht="19.5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ht="19.5" customHeight="1">
      <c r="A2" s="12"/>
      <c r="B2" s="12" t="s">
        <v>10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</row>
    <row r="3" ht="19.5" customHeight="1">
      <c r="A3" s="12"/>
      <c r="B3" s="32" t="s">
        <v>11</v>
      </c>
      <c r="C3" s="13" t="s">
        <v>12</v>
      </c>
      <c r="D3" s="14"/>
      <c r="E3" s="14"/>
      <c r="F3" s="14"/>
      <c r="G3" s="15"/>
      <c r="H3" s="13" t="s">
        <v>13</v>
      </c>
      <c r="I3" s="14"/>
      <c r="J3" s="14"/>
      <c r="K3" s="14"/>
      <c r="L3" s="14"/>
      <c r="M3" s="14"/>
      <c r="N3" s="15"/>
      <c r="O3" s="13" t="s">
        <v>14</v>
      </c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5"/>
      <c r="AE3" s="12"/>
      <c r="AF3" s="12"/>
    </row>
    <row r="4" ht="19.5" customHeight="1">
      <c r="A4" s="33"/>
      <c r="B4" s="34">
        <f t="shared" ref="B4:B13" si="1">ROW()-3</f>
        <v>1</v>
      </c>
      <c r="C4" s="35" t="s">
        <v>15</v>
      </c>
      <c r="D4" s="14"/>
      <c r="E4" s="14"/>
      <c r="F4" s="14"/>
      <c r="G4" s="15"/>
      <c r="H4" s="36" t="str">
        <f t="shared" ref="H4:H5" si="2">INDIRECT("'"&amp;$C4&amp;"'" &amp; "!$F5")</f>
        <v>T_STREAM</v>
      </c>
      <c r="I4" s="14"/>
      <c r="J4" s="14"/>
      <c r="K4" s="14"/>
      <c r="L4" s="14"/>
      <c r="M4" s="14"/>
      <c r="N4" s="15"/>
      <c r="O4" s="37" t="str">
        <f t="shared" ref="O4:O5" si="3">INDIRECT("'"&amp;$C4&amp;"'" &amp; "!$F6")</f>
        <v>登録された配信の情報を格納する</v>
      </c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5"/>
      <c r="AE4" s="12"/>
      <c r="AF4" s="12"/>
    </row>
    <row r="5" ht="36.75" customHeight="1">
      <c r="A5" s="33"/>
      <c r="B5" s="34">
        <f t="shared" si="1"/>
        <v>2</v>
      </c>
      <c r="C5" s="35" t="s">
        <v>16</v>
      </c>
      <c r="D5" s="14"/>
      <c r="E5" s="14"/>
      <c r="F5" s="14"/>
      <c r="G5" s="15"/>
      <c r="H5" s="36" t="str">
        <f t="shared" si="2"/>
        <v>M_CATEGORY</v>
      </c>
      <c r="I5" s="14"/>
      <c r="J5" s="14"/>
      <c r="K5" s="14"/>
      <c r="L5" s="14"/>
      <c r="M5" s="14"/>
      <c r="N5" s="15"/>
      <c r="O5" s="37" t="str">
        <f t="shared" si="3"/>
        <v>配信情報に紐づくカテゴリ情報を定義(#2(カテゴリ追加対応)にて追加)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5"/>
      <c r="AE5" s="12"/>
      <c r="AF5" s="12"/>
    </row>
    <row r="6" ht="19.5" customHeight="1">
      <c r="A6" s="33"/>
      <c r="B6" s="34">
        <f t="shared" si="1"/>
        <v>3</v>
      </c>
      <c r="C6" s="38"/>
      <c r="D6" s="14"/>
      <c r="E6" s="14"/>
      <c r="F6" s="14"/>
      <c r="G6" s="15"/>
      <c r="H6" s="35"/>
      <c r="I6" s="14"/>
      <c r="J6" s="14"/>
      <c r="K6" s="14"/>
      <c r="L6" s="14"/>
      <c r="M6" s="14"/>
      <c r="N6" s="15"/>
      <c r="O6" s="37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5"/>
      <c r="AE6" s="12"/>
      <c r="AF6" s="12"/>
    </row>
    <row r="7" ht="19.5" customHeight="1">
      <c r="A7" s="33"/>
      <c r="B7" s="34">
        <f t="shared" si="1"/>
        <v>4</v>
      </c>
      <c r="C7" s="35"/>
      <c r="D7" s="14"/>
      <c r="E7" s="14"/>
      <c r="F7" s="14"/>
      <c r="G7" s="15"/>
      <c r="H7" s="35"/>
      <c r="I7" s="14"/>
      <c r="J7" s="14"/>
      <c r="K7" s="14"/>
      <c r="L7" s="14"/>
      <c r="M7" s="14"/>
      <c r="N7" s="15"/>
      <c r="O7" s="37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5"/>
      <c r="AE7" s="12"/>
      <c r="AF7" s="12"/>
    </row>
    <row r="8" ht="19.5" customHeight="1">
      <c r="A8" s="33"/>
      <c r="B8" s="34">
        <f t="shared" si="1"/>
        <v>5</v>
      </c>
      <c r="C8" s="35"/>
      <c r="D8" s="14"/>
      <c r="E8" s="14"/>
      <c r="F8" s="14"/>
      <c r="G8" s="15"/>
      <c r="H8" s="35"/>
      <c r="I8" s="14"/>
      <c r="J8" s="14"/>
      <c r="K8" s="14"/>
      <c r="L8" s="14"/>
      <c r="M8" s="14"/>
      <c r="N8" s="15"/>
      <c r="O8" s="37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5"/>
      <c r="AE8" s="12"/>
      <c r="AF8" s="12"/>
    </row>
    <row r="9" ht="19.5" customHeight="1">
      <c r="A9" s="33"/>
      <c r="B9" s="34">
        <f t="shared" si="1"/>
        <v>6</v>
      </c>
      <c r="C9" s="35"/>
      <c r="D9" s="14"/>
      <c r="E9" s="14"/>
      <c r="F9" s="14"/>
      <c r="G9" s="15"/>
      <c r="H9" s="35"/>
      <c r="I9" s="14"/>
      <c r="J9" s="14"/>
      <c r="K9" s="14"/>
      <c r="L9" s="14"/>
      <c r="M9" s="14"/>
      <c r="N9" s="15"/>
      <c r="O9" s="37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5"/>
      <c r="AE9" s="12"/>
      <c r="AF9" s="12"/>
    </row>
    <row r="10" ht="19.5" customHeight="1">
      <c r="A10" s="33"/>
      <c r="B10" s="34">
        <f t="shared" si="1"/>
        <v>7</v>
      </c>
      <c r="C10" s="35"/>
      <c r="D10" s="14"/>
      <c r="E10" s="14"/>
      <c r="F10" s="14"/>
      <c r="G10" s="15"/>
      <c r="H10" s="35"/>
      <c r="I10" s="14"/>
      <c r="J10" s="14"/>
      <c r="K10" s="14"/>
      <c r="L10" s="14"/>
      <c r="M10" s="14"/>
      <c r="N10" s="15"/>
      <c r="O10" s="37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5"/>
      <c r="AE10" s="12"/>
      <c r="AF10" s="12"/>
    </row>
    <row r="11" ht="19.5" customHeight="1">
      <c r="A11" s="33"/>
      <c r="B11" s="34">
        <f t="shared" si="1"/>
        <v>8</v>
      </c>
      <c r="C11" s="35"/>
      <c r="D11" s="14"/>
      <c r="E11" s="14"/>
      <c r="F11" s="14"/>
      <c r="G11" s="15"/>
      <c r="H11" s="35"/>
      <c r="I11" s="14"/>
      <c r="J11" s="14"/>
      <c r="K11" s="14"/>
      <c r="L11" s="14"/>
      <c r="M11" s="14"/>
      <c r="N11" s="15"/>
      <c r="O11" s="37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5"/>
      <c r="AE11" s="12"/>
      <c r="AF11" s="12"/>
    </row>
    <row r="12" ht="19.5" customHeight="1">
      <c r="A12" s="33"/>
      <c r="B12" s="34">
        <f t="shared" si="1"/>
        <v>9</v>
      </c>
      <c r="C12" s="35"/>
      <c r="D12" s="14"/>
      <c r="E12" s="14"/>
      <c r="F12" s="14"/>
      <c r="G12" s="15"/>
      <c r="H12" s="35"/>
      <c r="I12" s="14"/>
      <c r="J12" s="14"/>
      <c r="K12" s="14"/>
      <c r="L12" s="14"/>
      <c r="M12" s="14"/>
      <c r="N12" s="15"/>
      <c r="O12" s="37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5"/>
      <c r="AE12" s="12"/>
      <c r="AF12" s="12"/>
    </row>
    <row r="13" ht="19.5" customHeight="1">
      <c r="A13" s="33"/>
      <c r="B13" s="34">
        <f t="shared" si="1"/>
        <v>10</v>
      </c>
      <c r="C13" s="35"/>
      <c r="D13" s="14"/>
      <c r="E13" s="14"/>
      <c r="F13" s="14"/>
      <c r="G13" s="15"/>
      <c r="H13" s="35"/>
      <c r="I13" s="14"/>
      <c r="J13" s="14"/>
      <c r="K13" s="14"/>
      <c r="L13" s="14"/>
      <c r="M13" s="14"/>
      <c r="N13" s="15"/>
      <c r="O13" s="37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5"/>
      <c r="AE13" s="12"/>
      <c r="AF13" s="12"/>
    </row>
    <row r="14" ht="19.5" customHeight="1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12"/>
      <c r="AF14" s="12"/>
    </row>
    <row r="15" ht="19.5" customHeight="1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12"/>
      <c r="AF15" s="12"/>
    </row>
    <row r="16" ht="19.5" customHeight="1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12"/>
      <c r="AF16" s="12"/>
    </row>
    <row r="17" ht="19.5" customHeight="1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12"/>
      <c r="AF17" s="12"/>
    </row>
    <row r="18" ht="19.5" customHeight="1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12"/>
      <c r="AF18" s="12"/>
    </row>
    <row r="19" ht="19.5" customHeight="1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12"/>
      <c r="AF19" s="12"/>
    </row>
    <row r="20" ht="19.5" customHeight="1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12"/>
      <c r="AF20" s="12"/>
    </row>
    <row r="21" ht="19.5" customHeight="1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12"/>
      <c r="AF21" s="12"/>
    </row>
    <row r="22" ht="19.5" customHeight="1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12"/>
      <c r="AF22" s="12"/>
    </row>
    <row r="23" ht="19.5" customHeight="1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12"/>
      <c r="AF23" s="12"/>
    </row>
    <row r="24" ht="19.5" customHeight="1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12"/>
      <c r="AF24" s="12"/>
    </row>
    <row r="25" ht="19.5" customHeight="1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12"/>
      <c r="AF25" s="12"/>
    </row>
    <row r="26" ht="19.5" customHeight="1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12"/>
      <c r="AF26" s="12"/>
    </row>
    <row r="27" ht="19.5" customHeight="1">
      <c r="A27" s="33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12"/>
      <c r="AF27" s="12"/>
    </row>
    <row r="28" ht="19.5" customHeight="1">
      <c r="A28" s="33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12"/>
      <c r="AF28" s="12"/>
    </row>
    <row r="29" ht="19.5" customHeight="1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12"/>
      <c r="AF29" s="12"/>
    </row>
    <row r="30" ht="19.5" customHeigh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12"/>
      <c r="AF30" s="12"/>
    </row>
    <row r="31" ht="19.5" customHeight="1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12"/>
      <c r="AF31" s="12"/>
    </row>
    <row r="32" ht="19.5" customHeight="1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12"/>
      <c r="AF32" s="12"/>
    </row>
    <row r="33" ht="19.5" customHeight="1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12"/>
      <c r="AF33" s="12"/>
    </row>
    <row r="34" ht="19.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12"/>
      <c r="AF34" s="12"/>
    </row>
    <row r="35" ht="19.5" customHeight="1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12"/>
      <c r="AF35" s="12"/>
    </row>
    <row r="36" ht="19.5" customHeight="1">
      <c r="A36" s="33"/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12"/>
      <c r="AF36" s="12"/>
    </row>
    <row r="37" ht="19.5" customHeight="1">
      <c r="A37" s="33"/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12"/>
      <c r="AF37" s="12"/>
    </row>
    <row r="38" ht="19.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12"/>
      <c r="AF38" s="12"/>
    </row>
    <row r="39" ht="19.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12"/>
      <c r="AF39" s="12"/>
    </row>
    <row r="40" ht="19.5" customHeight="1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12"/>
      <c r="AF40" s="12"/>
    </row>
    <row r="41" ht="19.5" customHeight="1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/>
      <c r="AD41" s="39"/>
      <c r="AE41" s="12"/>
      <c r="AF41" s="12"/>
    </row>
    <row r="42" ht="19.5" customHeight="1">
      <c r="A42" s="33"/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/>
      <c r="AD42" s="39"/>
      <c r="AE42" s="12"/>
      <c r="AF42" s="12"/>
    </row>
    <row r="43" ht="19.5" customHeight="1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  <c r="AB43" s="39"/>
      <c r="AC43" s="39"/>
      <c r="AD43" s="39"/>
      <c r="AE43" s="12"/>
      <c r="AF43" s="12"/>
    </row>
    <row r="44" ht="19.5" customHeight="1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  <c r="AB44" s="39"/>
      <c r="AC44" s="39"/>
      <c r="AD44" s="39"/>
      <c r="AE44" s="12"/>
      <c r="AF44" s="12"/>
    </row>
    <row r="45" ht="19.5" customHeight="1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12"/>
      <c r="AF45" s="12"/>
    </row>
    <row r="46" ht="19.5" customHeight="1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12"/>
      <c r="AF46" s="12"/>
    </row>
    <row r="47" ht="19.5" customHeight="1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12"/>
      <c r="AF47" s="12"/>
    </row>
    <row r="48" ht="19.5" customHeight="1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  <c r="AB48" s="39"/>
      <c r="AC48" s="39"/>
      <c r="AD48" s="39"/>
      <c r="AE48" s="12"/>
      <c r="AF48" s="12"/>
    </row>
    <row r="49" ht="19.5" customHeight="1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  <c r="AB49" s="39"/>
      <c r="AC49" s="39"/>
      <c r="AD49" s="39"/>
      <c r="AE49" s="12"/>
      <c r="AF49" s="12"/>
    </row>
    <row r="50" ht="19.5" customHeight="1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  <c r="AB50" s="39"/>
      <c r="AC50" s="39"/>
      <c r="AD50" s="39"/>
      <c r="AE50" s="12"/>
      <c r="AF50" s="12"/>
    </row>
    <row r="51" ht="19.5" customHeight="1">
      <c r="A51" s="33"/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  <c r="AB51" s="39"/>
      <c r="AC51" s="39"/>
      <c r="AD51" s="39"/>
      <c r="AE51" s="12"/>
      <c r="AF51" s="12"/>
    </row>
    <row r="52" ht="19.5" customHeight="1">
      <c r="A52" s="33"/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12"/>
      <c r="AF52" s="12"/>
    </row>
    <row r="53" ht="19.5" customHeight="1">
      <c r="A53" s="33"/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  <c r="AB53" s="39"/>
      <c r="AC53" s="39"/>
      <c r="AD53" s="39"/>
      <c r="AE53" s="12"/>
      <c r="AF53" s="12"/>
    </row>
    <row r="54" ht="19.5" customHeight="1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12"/>
      <c r="AF54" s="12"/>
    </row>
    <row r="55" ht="19.5" customHeight="1">
      <c r="A55" s="33"/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12"/>
      <c r="AF55" s="12"/>
    </row>
    <row r="56" ht="19.5" customHeight="1">
      <c r="A56" s="33"/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12"/>
      <c r="AF56" s="12"/>
    </row>
    <row r="57" ht="19.5" customHeight="1">
      <c r="A57" s="33"/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12"/>
      <c r="AF57" s="12"/>
    </row>
    <row r="58" ht="19.5" customHeigh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  <c r="AB58" s="39"/>
      <c r="AC58" s="39"/>
      <c r="AD58" s="39"/>
      <c r="AE58" s="12"/>
      <c r="AF58" s="12"/>
    </row>
    <row r="59" ht="19.5" customHeight="1">
      <c r="A59" s="33"/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  <c r="AB59" s="39"/>
      <c r="AC59" s="39"/>
      <c r="AD59" s="39"/>
      <c r="AE59" s="12"/>
      <c r="AF59" s="12"/>
    </row>
    <row r="60" ht="19.5" customHeight="1">
      <c r="A60" s="33"/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12"/>
      <c r="AF60" s="12"/>
    </row>
    <row r="61" ht="19.5" customHeight="1">
      <c r="A61" s="33"/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2"/>
      <c r="AF61" s="12"/>
    </row>
    <row r="62" ht="19.5" customHeight="1">
      <c r="A62" s="33"/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  <c r="AB62" s="39"/>
      <c r="AC62" s="39"/>
      <c r="AD62" s="39"/>
      <c r="AE62" s="12"/>
      <c r="AF62" s="12"/>
    </row>
    <row r="63" ht="19.5" customHeight="1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  <c r="AC63" s="39"/>
      <c r="AD63" s="39"/>
      <c r="AE63" s="12"/>
      <c r="AF63" s="12"/>
    </row>
    <row r="64" ht="19.5" customHeight="1">
      <c r="A64" s="33"/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12"/>
      <c r="AF64" s="12"/>
    </row>
    <row r="65" ht="19.5" customHeigh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2"/>
      <c r="AF65" s="12"/>
    </row>
    <row r="66" ht="19.5" customHeight="1">
      <c r="A66" s="33"/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2"/>
      <c r="AF66" s="12"/>
    </row>
    <row r="67" ht="19.5" customHeight="1">
      <c r="A67" s="33"/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2"/>
      <c r="AF67" s="12"/>
    </row>
    <row r="68" ht="19.5" customHeigh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2"/>
      <c r="AF68" s="12"/>
    </row>
    <row r="69" ht="19.5" customHeight="1">
      <c r="A69" s="3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12"/>
      <c r="AF69" s="12"/>
    </row>
    <row r="70" ht="19.5" customHeight="1">
      <c r="A70" s="33"/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12"/>
      <c r="AF70" s="12"/>
    </row>
    <row r="71" ht="19.5" customHeight="1">
      <c r="A71" s="33"/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  <c r="AB71" s="39"/>
      <c r="AC71" s="39"/>
      <c r="AD71" s="39"/>
      <c r="AE71" s="12"/>
      <c r="AF71" s="12"/>
    </row>
    <row r="72" ht="19.5" customHeigh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  <c r="AB72" s="39"/>
      <c r="AC72" s="39"/>
      <c r="AD72" s="39"/>
      <c r="AE72" s="12"/>
      <c r="AF72" s="12"/>
    </row>
    <row r="73" ht="19.5" customHeight="1">
      <c r="A73" s="33"/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12"/>
      <c r="AF73" s="12"/>
    </row>
    <row r="74" ht="19.5" customHeight="1">
      <c r="A74" s="33"/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  <c r="AB74" s="39"/>
      <c r="AC74" s="39"/>
      <c r="AD74" s="39"/>
      <c r="AE74" s="12"/>
      <c r="AF74" s="12"/>
    </row>
    <row r="75" ht="19.5" customHeight="1">
      <c r="A75" s="33"/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  <c r="AB75" s="39"/>
      <c r="AC75" s="39"/>
      <c r="AD75" s="39"/>
      <c r="AE75" s="12"/>
      <c r="AF75" s="12"/>
    </row>
    <row r="76" ht="19.5" customHeight="1">
      <c r="A76" s="33"/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  <c r="AB76" s="39"/>
      <c r="AC76" s="39"/>
      <c r="AD76" s="39"/>
      <c r="AE76" s="12"/>
      <c r="AF76" s="12"/>
    </row>
    <row r="77" ht="19.5" customHeight="1">
      <c r="A77" s="33"/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  <c r="AB77" s="39"/>
      <c r="AC77" s="39"/>
      <c r="AD77" s="39"/>
      <c r="AE77" s="12"/>
      <c r="AF77" s="12"/>
    </row>
    <row r="78" ht="19.5" customHeight="1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  <c r="AB78" s="39"/>
      <c r="AC78" s="39"/>
      <c r="AD78" s="39"/>
      <c r="AE78" s="12"/>
      <c r="AF78" s="12"/>
    </row>
    <row r="79" ht="19.5" customHeight="1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  <c r="AB79" s="39"/>
      <c r="AC79" s="39"/>
      <c r="AD79" s="39"/>
      <c r="AE79" s="12"/>
      <c r="AF79" s="12"/>
    </row>
    <row r="80" ht="19.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  <c r="AB80" s="39"/>
      <c r="AC80" s="39"/>
      <c r="AD80" s="39"/>
      <c r="AE80" s="12"/>
      <c r="AF80" s="12"/>
    </row>
    <row r="81" ht="19.5" customHeight="1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12"/>
      <c r="AF81" s="12"/>
    </row>
    <row r="82" ht="19.5" customHeight="1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12"/>
      <c r="AF82" s="12"/>
    </row>
    <row r="83" ht="19.5" customHeight="1">
      <c r="A83" s="3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12"/>
      <c r="AF83" s="12"/>
    </row>
    <row r="84" ht="19.5" customHeight="1">
      <c r="A84" s="33"/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12"/>
      <c r="AF84" s="12"/>
    </row>
    <row r="85" ht="19.5" customHeight="1">
      <c r="A85" s="33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12"/>
      <c r="AF85" s="12"/>
    </row>
    <row r="86" ht="19.5" customHeigh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12"/>
      <c r="AF86" s="12"/>
    </row>
    <row r="87" ht="19.5" customHeight="1">
      <c r="A87" s="33"/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12"/>
      <c r="AF87" s="12"/>
    </row>
    <row r="88" ht="19.5" customHeight="1">
      <c r="A88" s="33"/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12"/>
      <c r="AF88" s="12"/>
    </row>
    <row r="89" ht="19.5" customHeight="1">
      <c r="A89" s="33"/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12"/>
      <c r="AF89" s="12"/>
    </row>
    <row r="90" ht="19.5" customHeight="1">
      <c r="A90" s="33"/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12"/>
      <c r="AF90" s="12"/>
    </row>
    <row r="91" ht="19.5" customHeight="1">
      <c r="A91" s="33"/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12"/>
      <c r="AF91" s="12"/>
    </row>
    <row r="92" ht="19.5" customHeight="1">
      <c r="A92" s="33"/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12"/>
      <c r="AF92" s="12"/>
    </row>
    <row r="93" ht="19.5" customHeight="1">
      <c r="A93" s="33"/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12"/>
      <c r="AF93" s="12"/>
    </row>
    <row r="94" ht="19.5" customHeight="1">
      <c r="A94" s="33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12"/>
      <c r="AF94" s="12"/>
    </row>
    <row r="95" ht="19.5" customHeight="1">
      <c r="A95" s="33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12"/>
      <c r="AF95" s="12"/>
    </row>
    <row r="96" ht="19.5" customHeight="1">
      <c r="A96" s="33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12"/>
      <c r="AF96" s="12"/>
    </row>
    <row r="97" ht="19.5" customHeight="1">
      <c r="A97" s="33"/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12"/>
      <c r="AF97" s="12"/>
    </row>
    <row r="98" ht="19.5" customHeight="1">
      <c r="A98" s="33"/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12"/>
      <c r="AF98" s="12"/>
    </row>
    <row r="99" ht="19.5" customHeight="1">
      <c r="A99" s="33"/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12"/>
      <c r="AF99" s="12"/>
    </row>
    <row r="100" ht="19.5" customHeigh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12"/>
      <c r="AF100" s="12"/>
    </row>
    <row r="101" ht="19.5" customHeight="1">
      <c r="A101" s="33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12"/>
      <c r="AF101" s="12"/>
    </row>
    <row r="102" ht="19.5" customHeight="1">
      <c r="A102" s="33"/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12"/>
      <c r="AF102" s="12"/>
    </row>
    <row r="103" ht="19.5" customHeight="1">
      <c r="A103" s="33"/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12"/>
      <c r="AF103" s="12"/>
    </row>
    <row r="104" ht="19.5" customHeight="1">
      <c r="A104" s="33"/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12"/>
      <c r="AF104" s="12"/>
    </row>
    <row r="105" ht="19.5" customHeight="1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12"/>
      <c r="AF105" s="12"/>
    </row>
    <row r="106" ht="19.5" customHeight="1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12"/>
      <c r="AF106" s="12"/>
    </row>
    <row r="107" ht="19.5" customHeight="1">
      <c r="A107" s="33"/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12"/>
      <c r="AF107" s="12"/>
    </row>
    <row r="108" ht="19.5" customHeight="1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12"/>
      <c r="AF108" s="12"/>
    </row>
    <row r="109" ht="19.5" customHeight="1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  <c r="AB109" s="39"/>
      <c r="AC109" s="39"/>
      <c r="AD109" s="39"/>
      <c r="AE109" s="12"/>
      <c r="AF109" s="12"/>
    </row>
    <row r="110" ht="19.5" customHeight="1">
      <c r="A110" s="33"/>
      <c r="B110" s="33"/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12"/>
      <c r="AF110" s="12"/>
    </row>
    <row r="111" ht="19.5" customHeight="1">
      <c r="A111" s="33"/>
      <c r="B111" s="33"/>
      <c r="C111" s="33"/>
      <c r="D111" s="33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12"/>
      <c r="AF111" s="12"/>
    </row>
    <row r="112" ht="19.5" customHeight="1">
      <c r="A112" s="33"/>
      <c r="B112" s="33"/>
      <c r="C112" s="33"/>
      <c r="D112" s="33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12"/>
      <c r="AF112" s="12"/>
    </row>
    <row r="113" ht="19.5" customHeight="1">
      <c r="A113" s="33"/>
      <c r="B113" s="33"/>
      <c r="C113" s="33"/>
      <c r="D113" s="33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12"/>
      <c r="AF113" s="12"/>
    </row>
    <row r="114" ht="19.5" customHeight="1">
      <c r="A114" s="33"/>
      <c r="B114" s="33"/>
      <c r="C114" s="33"/>
      <c r="D114" s="33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12"/>
      <c r="AF114" s="12"/>
    </row>
    <row r="115" ht="19.5" customHeight="1">
      <c r="A115" s="33"/>
      <c r="B115" s="33"/>
      <c r="C115" s="33"/>
      <c r="D115" s="33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12"/>
      <c r="AF115" s="12"/>
    </row>
    <row r="116" ht="19.5" customHeight="1">
      <c r="A116" s="33"/>
      <c r="B116" s="33"/>
      <c r="C116" s="33"/>
      <c r="D116" s="33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12"/>
      <c r="AF116" s="12"/>
    </row>
    <row r="117" ht="19.5" customHeight="1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12"/>
      <c r="AF117" s="12"/>
    </row>
    <row r="118" ht="19.5" customHeight="1">
      <c r="A118" s="33"/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12"/>
      <c r="AF118" s="12"/>
    </row>
    <row r="119" ht="19.5" customHeight="1">
      <c r="A119" s="33"/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12"/>
      <c r="AF119" s="12"/>
    </row>
    <row r="120" ht="19.5" customHeight="1">
      <c r="A120" s="33"/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12"/>
      <c r="AF120" s="12"/>
    </row>
    <row r="121" ht="19.5" customHeight="1">
      <c r="A121" s="33"/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12"/>
      <c r="AF121" s="12"/>
    </row>
    <row r="122" ht="19.5" customHeight="1">
      <c r="A122" s="33"/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12"/>
      <c r="AF122" s="12"/>
    </row>
    <row r="123" ht="19.5" customHeight="1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12"/>
      <c r="AF123" s="12"/>
    </row>
    <row r="124" ht="19.5" customHeight="1">
      <c r="A124" s="33"/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12"/>
      <c r="AF124" s="12"/>
    </row>
    <row r="125" ht="19.5" customHeight="1">
      <c r="A125" s="33"/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12"/>
      <c r="AF125" s="12"/>
    </row>
    <row r="126" ht="19.5" customHeight="1">
      <c r="A126" s="33"/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  <c r="AB126" s="39"/>
      <c r="AC126" s="39"/>
      <c r="AD126" s="39"/>
      <c r="AE126" s="12"/>
      <c r="AF126" s="12"/>
    </row>
    <row r="127" ht="19.5" customHeight="1">
      <c r="A127" s="33"/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  <c r="AB127" s="39"/>
      <c r="AC127" s="39"/>
      <c r="AD127" s="39"/>
      <c r="AE127" s="12"/>
      <c r="AF127" s="12"/>
    </row>
    <row r="128" ht="19.5" customHeight="1">
      <c r="A128" s="33"/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  <c r="AB128" s="39"/>
      <c r="AC128" s="39"/>
      <c r="AD128" s="39"/>
      <c r="AE128" s="12"/>
      <c r="AF128" s="12"/>
    </row>
    <row r="129" ht="19.5" customHeight="1">
      <c r="A129" s="33"/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  <c r="AB129" s="39"/>
      <c r="AC129" s="39"/>
      <c r="AD129" s="39"/>
      <c r="AE129" s="12"/>
      <c r="AF129" s="12"/>
    </row>
    <row r="130" ht="19.5" customHeight="1">
      <c r="A130" s="33"/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  <c r="AB130" s="39"/>
      <c r="AC130" s="39"/>
      <c r="AD130" s="39"/>
      <c r="AE130" s="12"/>
      <c r="AF130" s="12"/>
    </row>
    <row r="131" ht="19.5" customHeight="1">
      <c r="A131" s="33"/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  <c r="AB131" s="39"/>
      <c r="AC131" s="39"/>
      <c r="AD131" s="39"/>
      <c r="AE131" s="12"/>
      <c r="AF131" s="12"/>
    </row>
    <row r="132" ht="19.5" customHeight="1">
      <c r="A132" s="33"/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  <c r="AB132" s="39"/>
      <c r="AC132" s="39"/>
      <c r="AD132" s="39"/>
      <c r="AE132" s="12"/>
      <c r="AF132" s="12"/>
    </row>
    <row r="133" ht="19.5" customHeight="1">
      <c r="A133" s="33"/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  <c r="AB133" s="39"/>
      <c r="AC133" s="39"/>
      <c r="AD133" s="39"/>
      <c r="AE133" s="12"/>
      <c r="AF133" s="12"/>
    </row>
    <row r="134" ht="19.5" customHeight="1">
      <c r="A134" s="33"/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12"/>
      <c r="AF134" s="12"/>
    </row>
    <row r="135" ht="19.5" customHeight="1">
      <c r="A135" s="33"/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  <c r="AB135" s="39"/>
      <c r="AC135" s="39"/>
      <c r="AD135" s="39"/>
      <c r="AE135" s="12"/>
      <c r="AF135" s="12"/>
    </row>
    <row r="136" ht="19.5" customHeight="1">
      <c r="A136" s="33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  <c r="AB136" s="39"/>
      <c r="AC136" s="39"/>
      <c r="AD136" s="39"/>
      <c r="AE136" s="12"/>
      <c r="AF136" s="12"/>
    </row>
    <row r="137" ht="19.5" customHeight="1">
      <c r="A137" s="33"/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  <c r="AB137" s="39"/>
      <c r="AC137" s="39"/>
      <c r="AD137" s="39"/>
      <c r="AE137" s="12"/>
      <c r="AF137" s="12"/>
    </row>
    <row r="138" ht="19.5" customHeight="1">
      <c r="A138" s="33"/>
      <c r="B138" s="33"/>
      <c r="C138" s="33"/>
      <c r="D138" s="33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  <c r="AB138" s="39"/>
      <c r="AC138" s="39"/>
      <c r="AD138" s="39"/>
      <c r="AE138" s="12"/>
      <c r="AF138" s="12"/>
    </row>
    <row r="139" ht="19.5" customHeight="1">
      <c r="A139" s="33"/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12"/>
      <c r="AF139" s="12"/>
    </row>
    <row r="140" ht="19.5" customHeight="1">
      <c r="A140" s="33"/>
      <c r="B140" s="33"/>
      <c r="C140" s="33"/>
      <c r="D140" s="33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  <c r="AB140" s="39"/>
      <c r="AC140" s="39"/>
      <c r="AD140" s="39"/>
      <c r="AE140" s="12"/>
      <c r="AF140" s="12"/>
    </row>
    <row r="141" ht="19.5" customHeight="1">
      <c r="A141" s="33"/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  <c r="AB141" s="39"/>
      <c r="AC141" s="39"/>
      <c r="AD141" s="39"/>
      <c r="AE141" s="12"/>
      <c r="AF141" s="12"/>
    </row>
    <row r="142" ht="19.5" customHeight="1">
      <c r="A142" s="33"/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  <c r="AB142" s="39"/>
      <c r="AC142" s="39"/>
      <c r="AD142" s="39"/>
      <c r="AE142" s="12"/>
      <c r="AF142" s="12"/>
    </row>
    <row r="143" ht="19.5" customHeight="1">
      <c r="A143" s="33"/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  <c r="AB143" s="39"/>
      <c r="AC143" s="39"/>
      <c r="AD143" s="39"/>
      <c r="AE143" s="12"/>
      <c r="AF143" s="12"/>
    </row>
    <row r="144" ht="19.5" customHeight="1">
      <c r="A144" s="33"/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12"/>
      <c r="AF144" s="12"/>
    </row>
    <row r="145" ht="19.5" customHeight="1">
      <c r="A145" s="33"/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  <c r="AB145" s="39"/>
      <c r="AC145" s="39"/>
      <c r="AD145" s="39"/>
      <c r="AE145" s="12"/>
      <c r="AF145" s="12"/>
    </row>
    <row r="146" ht="19.5" customHeight="1">
      <c r="A146" s="33"/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12"/>
      <c r="AF146" s="12"/>
    </row>
    <row r="147" ht="19.5" customHeight="1">
      <c r="A147" s="33"/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12"/>
      <c r="AF147" s="12"/>
    </row>
    <row r="148" ht="19.5" customHeight="1">
      <c r="A148" s="33"/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12"/>
      <c r="AF148" s="12"/>
    </row>
    <row r="149" ht="19.5" customHeight="1">
      <c r="A149" s="33"/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12"/>
      <c r="AF149" s="12"/>
    </row>
    <row r="150" ht="19.5" customHeight="1">
      <c r="A150" s="33"/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  <c r="AB150" s="39"/>
      <c r="AC150" s="39"/>
      <c r="AD150" s="39"/>
      <c r="AE150" s="12"/>
      <c r="AF150" s="12"/>
    </row>
    <row r="151" ht="19.5" customHeight="1">
      <c r="A151" s="33"/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  <c r="AB151" s="39"/>
      <c r="AC151" s="39"/>
      <c r="AD151" s="39"/>
      <c r="AE151" s="12"/>
      <c r="AF151" s="12"/>
    </row>
    <row r="152" ht="19.5" customHeight="1">
      <c r="A152" s="33"/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12"/>
      <c r="AF152" s="12"/>
    </row>
    <row r="153" ht="19.5" customHeight="1">
      <c r="A153" s="33"/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  <c r="AB153" s="39"/>
      <c r="AC153" s="39"/>
      <c r="AD153" s="39"/>
      <c r="AE153" s="12"/>
      <c r="AF153" s="12"/>
    </row>
    <row r="154" ht="19.5" customHeight="1">
      <c r="A154" s="33"/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  <c r="AB154" s="39"/>
      <c r="AC154" s="39"/>
      <c r="AD154" s="39"/>
      <c r="AE154" s="12"/>
      <c r="AF154" s="12"/>
    </row>
    <row r="155" ht="19.5" customHeight="1">
      <c r="A155" s="33"/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  <c r="AB155" s="39"/>
      <c r="AC155" s="39"/>
      <c r="AD155" s="39"/>
      <c r="AE155" s="12"/>
      <c r="AF155" s="12"/>
    </row>
    <row r="156" ht="19.5" customHeight="1">
      <c r="A156" s="33"/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12"/>
      <c r="AF156" s="12"/>
    </row>
    <row r="157" ht="19.5" customHeight="1">
      <c r="A157" s="33"/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12"/>
      <c r="AF157" s="12"/>
    </row>
    <row r="158" ht="19.5" customHeight="1">
      <c r="A158" s="33"/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12"/>
      <c r="AF158" s="12"/>
    </row>
    <row r="159" ht="19.5" customHeight="1">
      <c r="A159" s="33"/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  <c r="AB159" s="39"/>
      <c r="AC159" s="39"/>
      <c r="AD159" s="39"/>
      <c r="AE159" s="12"/>
      <c r="AF159" s="12"/>
    </row>
    <row r="160" ht="19.5" customHeight="1">
      <c r="A160" s="33"/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  <c r="AB160" s="39"/>
      <c r="AC160" s="39"/>
      <c r="AD160" s="39"/>
      <c r="AE160" s="12"/>
      <c r="AF160" s="12"/>
    </row>
    <row r="161" ht="19.5" customHeight="1">
      <c r="A161" s="33"/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12"/>
      <c r="AF161" s="12"/>
    </row>
    <row r="162" ht="19.5" customHeight="1">
      <c r="A162" s="33"/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  <c r="AB162" s="39"/>
      <c r="AC162" s="39"/>
      <c r="AD162" s="39"/>
      <c r="AE162" s="12"/>
      <c r="AF162" s="12"/>
    </row>
    <row r="163" ht="19.5" customHeight="1">
      <c r="A163" s="33"/>
      <c r="B163" s="33"/>
      <c r="C163" s="33"/>
      <c r="D163" s="33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  <c r="AB163" s="39"/>
      <c r="AC163" s="39"/>
      <c r="AD163" s="39"/>
      <c r="AE163" s="12"/>
      <c r="AF163" s="12"/>
    </row>
    <row r="164" ht="19.5" customHeight="1">
      <c r="A164" s="33"/>
      <c r="B164" s="33"/>
      <c r="C164" s="33"/>
      <c r="D164" s="33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  <c r="AB164" s="39"/>
      <c r="AC164" s="39"/>
      <c r="AD164" s="39"/>
      <c r="AE164" s="12"/>
      <c r="AF164" s="12"/>
    </row>
    <row r="165" ht="19.5" customHeight="1">
      <c r="A165" s="33"/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12"/>
      <c r="AF165" s="12"/>
    </row>
    <row r="166" ht="19.5" customHeight="1">
      <c r="A166" s="33"/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  <c r="AB166" s="39"/>
      <c r="AC166" s="39"/>
      <c r="AD166" s="39"/>
      <c r="AE166" s="12"/>
      <c r="AF166" s="12"/>
    </row>
    <row r="167" ht="19.5" customHeight="1">
      <c r="A167" s="33"/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  <c r="AB167" s="39"/>
      <c r="AC167" s="39"/>
      <c r="AD167" s="39"/>
      <c r="AE167" s="12"/>
      <c r="AF167" s="12"/>
    </row>
    <row r="168" ht="19.5" customHeight="1">
      <c r="A168" s="33"/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  <c r="AB168" s="39"/>
      <c r="AC168" s="39"/>
      <c r="AD168" s="39"/>
      <c r="AE168" s="12"/>
      <c r="AF168" s="12"/>
    </row>
    <row r="169" ht="19.5" customHeight="1">
      <c r="A169" s="33"/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  <c r="AB169" s="39"/>
      <c r="AC169" s="39"/>
      <c r="AD169" s="39"/>
      <c r="AE169" s="12"/>
      <c r="AF169" s="12"/>
    </row>
    <row r="170" ht="19.5" customHeight="1">
      <c r="A170" s="33"/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  <c r="AB170" s="39"/>
      <c r="AC170" s="39"/>
      <c r="AD170" s="39"/>
      <c r="AE170" s="12"/>
      <c r="AF170" s="12"/>
    </row>
    <row r="171" ht="19.5" customHeight="1">
      <c r="A171" s="33"/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E171" s="12"/>
      <c r="AF171" s="12"/>
    </row>
    <row r="172" ht="19.5" customHeight="1">
      <c r="A172" s="33"/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 s="12"/>
      <c r="AF172" s="12"/>
    </row>
    <row r="173" ht="19.5" customHeight="1">
      <c r="A173" s="33"/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 s="12"/>
      <c r="AF173" s="12"/>
    </row>
    <row r="174" ht="19.5" customHeight="1">
      <c r="A174" s="33"/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 s="12"/>
      <c r="AF174" s="12"/>
    </row>
    <row r="175" ht="19.5" customHeight="1">
      <c r="A175" s="33"/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  <c r="AB175" s="39"/>
      <c r="AC175" s="39"/>
      <c r="AD175" s="39"/>
      <c r="AE175" s="12"/>
      <c r="AF175" s="12"/>
    </row>
    <row r="176" ht="19.5" customHeight="1">
      <c r="A176" s="33"/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  <c r="AB176" s="39"/>
      <c r="AC176" s="39"/>
      <c r="AD176" s="39"/>
      <c r="AE176" s="12"/>
      <c r="AF176" s="12"/>
    </row>
    <row r="177" ht="19.5" customHeight="1">
      <c r="A177" s="33"/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  <c r="AB177" s="39"/>
      <c r="AC177" s="39"/>
      <c r="AD177" s="39"/>
      <c r="AE177" s="12"/>
      <c r="AF177" s="12"/>
    </row>
    <row r="178" ht="19.5" customHeight="1">
      <c r="A178" s="33"/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  <c r="AB178" s="39"/>
      <c r="AC178" s="39"/>
      <c r="AD178" s="39"/>
      <c r="AE178" s="12"/>
      <c r="AF178" s="12"/>
    </row>
    <row r="179" ht="19.5" customHeight="1">
      <c r="A179" s="33"/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  <c r="AB179" s="39"/>
      <c r="AC179" s="39"/>
      <c r="AD179" s="39"/>
      <c r="AE179" s="12"/>
      <c r="AF179" s="12"/>
    </row>
    <row r="180" ht="19.5" customHeight="1">
      <c r="A180" s="33"/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  <c r="AB180" s="39"/>
      <c r="AC180" s="39"/>
      <c r="AD180" s="39"/>
      <c r="AE180" s="12"/>
      <c r="AF180" s="12"/>
    </row>
    <row r="181" ht="19.5" customHeight="1">
      <c r="A181" s="33"/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  <c r="AB181" s="39"/>
      <c r="AC181" s="39"/>
      <c r="AD181" s="39"/>
      <c r="AE181" s="12"/>
      <c r="AF181" s="12"/>
    </row>
    <row r="182" ht="19.5" customHeight="1">
      <c r="A182" s="33"/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  <c r="AB182" s="39"/>
      <c r="AC182" s="39"/>
      <c r="AD182" s="39"/>
      <c r="AE182" s="12"/>
      <c r="AF182" s="12"/>
    </row>
    <row r="183" ht="19.5" customHeight="1">
      <c r="A183" s="33"/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12"/>
      <c r="AF183" s="12"/>
    </row>
    <row r="184" ht="19.5" customHeight="1">
      <c r="A184" s="33"/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  <c r="AB184" s="39"/>
      <c r="AC184" s="39"/>
      <c r="AD184" s="39"/>
      <c r="AE184" s="12"/>
      <c r="AF184" s="12"/>
    </row>
    <row r="185" ht="19.5" customHeight="1">
      <c r="A185" s="33"/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  <c r="AB185" s="39"/>
      <c r="AC185" s="39"/>
      <c r="AD185" s="39"/>
      <c r="AE185" s="12"/>
      <c r="AF185" s="12"/>
    </row>
    <row r="186" ht="19.5" customHeight="1">
      <c r="A186" s="33"/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  <c r="AB186" s="39"/>
      <c r="AC186" s="39"/>
      <c r="AD186" s="39"/>
      <c r="AE186" s="12"/>
      <c r="AF186" s="12"/>
    </row>
    <row r="187" ht="19.5" customHeight="1">
      <c r="A187" s="33"/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  <c r="AB187" s="39"/>
      <c r="AC187" s="39"/>
      <c r="AD187" s="39"/>
      <c r="AE187" s="12"/>
      <c r="AF187" s="12"/>
    </row>
    <row r="188" ht="19.5" customHeight="1">
      <c r="A188" s="33"/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  <c r="AB188" s="39"/>
      <c r="AC188" s="39"/>
      <c r="AD188" s="39"/>
      <c r="AE188" s="12"/>
      <c r="AF188" s="12"/>
    </row>
    <row r="189" ht="19.5" customHeight="1">
      <c r="A189" s="33"/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12"/>
      <c r="AF189" s="12"/>
    </row>
    <row r="190" ht="19.5" customHeight="1">
      <c r="A190" s="33"/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  <c r="AB190" s="39"/>
      <c r="AC190" s="39"/>
      <c r="AD190" s="39"/>
      <c r="AE190" s="12"/>
      <c r="AF190" s="12"/>
    </row>
    <row r="191" ht="19.5" customHeight="1">
      <c r="A191" s="33"/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  <c r="AB191" s="39"/>
      <c r="AC191" s="39"/>
      <c r="AD191" s="39"/>
      <c r="AE191" s="12"/>
      <c r="AF191" s="12"/>
    </row>
    <row r="192" ht="19.5" customHeight="1">
      <c r="A192" s="33"/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12"/>
      <c r="AF192" s="12"/>
    </row>
    <row r="193" ht="19.5" customHeight="1">
      <c r="A193" s="33"/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12"/>
      <c r="AF193" s="12"/>
    </row>
    <row r="194" ht="19.5" customHeight="1">
      <c r="A194" s="33"/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12"/>
      <c r="AF194" s="12"/>
    </row>
    <row r="195" ht="19.5" customHeight="1">
      <c r="A195" s="33"/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  <c r="AB195" s="39"/>
      <c r="AC195" s="39"/>
      <c r="AD195" s="39"/>
      <c r="AE195" s="12"/>
      <c r="AF195" s="12"/>
    </row>
    <row r="196" ht="19.5" customHeight="1">
      <c r="A196" s="33"/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12"/>
      <c r="AF196" s="12"/>
    </row>
    <row r="197" ht="19.5" customHeight="1">
      <c r="A197" s="33"/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  <c r="AB197" s="39"/>
      <c r="AC197" s="39"/>
      <c r="AD197" s="39"/>
      <c r="AE197" s="12"/>
      <c r="AF197" s="12"/>
    </row>
    <row r="198" ht="19.5" customHeight="1">
      <c r="A198" s="33"/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  <c r="AB198" s="39"/>
      <c r="AC198" s="39"/>
      <c r="AD198" s="39"/>
      <c r="AE198" s="12"/>
      <c r="AF198" s="12"/>
    </row>
    <row r="199" ht="19.5" customHeight="1">
      <c r="A199" s="33"/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  <c r="AB199" s="39"/>
      <c r="AC199" s="39"/>
      <c r="AD199" s="39"/>
      <c r="AE199" s="12"/>
      <c r="AF199" s="12"/>
    </row>
    <row r="200" ht="19.5" customHeight="1">
      <c r="A200" s="33"/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12"/>
      <c r="AF200" s="12"/>
    </row>
    <row r="201" ht="19.5" customHeight="1">
      <c r="A201" s="33"/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  <c r="AB201" s="39"/>
      <c r="AC201" s="39"/>
      <c r="AD201" s="39"/>
      <c r="AE201" s="12"/>
      <c r="AF201" s="12"/>
    </row>
    <row r="202" ht="19.5" customHeight="1">
      <c r="A202" s="33"/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12"/>
      <c r="AF202" s="12"/>
    </row>
    <row r="203" ht="19.5" customHeight="1">
      <c r="A203" s="33"/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12"/>
      <c r="AF203" s="12"/>
    </row>
    <row r="204" ht="19.5" customHeight="1">
      <c r="A204" s="33"/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12"/>
      <c r="AF204" s="12"/>
    </row>
    <row r="205" ht="19.5" customHeight="1">
      <c r="A205" s="33"/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12"/>
      <c r="AF205" s="12"/>
    </row>
    <row r="206" ht="19.5" customHeight="1">
      <c r="A206" s="33"/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  <c r="AB206" s="39"/>
      <c r="AC206" s="39"/>
      <c r="AD206" s="39"/>
      <c r="AE206" s="12"/>
      <c r="AF206" s="12"/>
    </row>
    <row r="207" ht="19.5" customHeight="1">
      <c r="A207" s="33"/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/>
      <c r="AE207" s="12"/>
      <c r="AF207" s="12"/>
    </row>
    <row r="208" ht="19.5" customHeight="1">
      <c r="A208" s="33"/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  <c r="AB208" s="39"/>
      <c r="AC208" s="39"/>
      <c r="AD208" s="39"/>
      <c r="AE208" s="12"/>
      <c r="AF208" s="12"/>
    </row>
    <row r="209" ht="19.5" customHeight="1">
      <c r="A209" s="33"/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  <c r="AB209" s="39"/>
      <c r="AC209" s="39"/>
      <c r="AD209" s="39"/>
      <c r="AE209" s="12"/>
      <c r="AF209" s="12"/>
    </row>
    <row r="210" ht="19.5" customHeight="1">
      <c r="A210" s="33"/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  <c r="AB210" s="39"/>
      <c r="AC210" s="39"/>
      <c r="AD210" s="39"/>
      <c r="AE210" s="12"/>
      <c r="AF210" s="12"/>
    </row>
    <row r="211" ht="19.5" customHeight="1">
      <c r="A211" s="33"/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  <c r="AB211" s="39"/>
      <c r="AC211" s="39"/>
      <c r="AD211" s="39"/>
      <c r="AE211" s="12"/>
      <c r="AF211" s="12"/>
    </row>
    <row r="212" ht="19.5" customHeight="1">
      <c r="A212" s="33"/>
      <c r="B212" s="33"/>
      <c r="C212" s="33"/>
      <c r="D212" s="33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  <c r="AB212" s="39"/>
      <c r="AC212" s="39"/>
      <c r="AD212" s="39"/>
      <c r="AE212" s="12"/>
      <c r="AF212" s="12"/>
    </row>
    <row r="213" ht="19.5" customHeight="1">
      <c r="A213" s="33"/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  <c r="AB213" s="39"/>
      <c r="AC213" s="39"/>
      <c r="AD213" s="39"/>
      <c r="AE213" s="12"/>
      <c r="AF213" s="12"/>
    </row>
    <row r="214" ht="19.5" customHeight="1">
      <c r="A214" s="33"/>
      <c r="B214" s="33"/>
      <c r="C214" s="33"/>
      <c r="D214" s="33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  <c r="AB214" s="39"/>
      <c r="AC214" s="39"/>
      <c r="AD214" s="39"/>
      <c r="AE214" s="12"/>
      <c r="AF214" s="12"/>
    </row>
    <row r="215" ht="19.5" customHeight="1">
      <c r="A215" s="33"/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  <c r="AB215" s="39"/>
      <c r="AC215" s="39"/>
      <c r="AD215" s="39"/>
      <c r="AE215" s="12"/>
      <c r="AF215" s="12"/>
    </row>
    <row r="216" ht="19.5" customHeight="1">
      <c r="A216" s="33"/>
      <c r="B216" s="33"/>
      <c r="C216" s="33"/>
      <c r="D216" s="33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  <c r="AB216" s="39"/>
      <c r="AC216" s="39"/>
      <c r="AD216" s="39"/>
      <c r="AE216" s="12"/>
      <c r="AF216" s="12"/>
    </row>
    <row r="217" ht="19.5" customHeight="1">
      <c r="A217" s="33"/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  <c r="AB217" s="39"/>
      <c r="AC217" s="39"/>
      <c r="AD217" s="39"/>
      <c r="AE217" s="12"/>
      <c r="AF217" s="12"/>
    </row>
    <row r="218" ht="19.5" customHeight="1">
      <c r="A218" s="33"/>
      <c r="B218" s="33"/>
      <c r="C218" s="33"/>
      <c r="D218" s="33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  <c r="AB218" s="39"/>
      <c r="AC218" s="39"/>
      <c r="AD218" s="39"/>
      <c r="AE218" s="12"/>
      <c r="AF218" s="12"/>
    </row>
    <row r="219" ht="19.5" customHeight="1">
      <c r="A219" s="33"/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  <c r="AB219" s="39"/>
      <c r="AC219" s="39"/>
      <c r="AD219" s="39"/>
      <c r="AE219" s="12"/>
      <c r="AF219" s="12"/>
    </row>
    <row r="220" ht="19.5" customHeight="1">
      <c r="A220" s="33"/>
      <c r="B220" s="33"/>
      <c r="C220" s="33"/>
      <c r="D220" s="33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12"/>
      <c r="AF220" s="1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mergeCells count="33">
    <mergeCell ref="H5:N5"/>
    <mergeCell ref="O5:AD5"/>
    <mergeCell ref="C3:G3"/>
    <mergeCell ref="H3:N3"/>
    <mergeCell ref="O3:AD3"/>
    <mergeCell ref="C4:G4"/>
    <mergeCell ref="H4:N4"/>
    <mergeCell ref="O4:AD4"/>
    <mergeCell ref="C5:G5"/>
    <mergeCell ref="H8:N8"/>
    <mergeCell ref="O8:AD8"/>
    <mergeCell ref="C6:G6"/>
    <mergeCell ref="H6:N6"/>
    <mergeCell ref="O6:AD6"/>
    <mergeCell ref="C7:G7"/>
    <mergeCell ref="H7:N7"/>
    <mergeCell ref="O7:AD7"/>
    <mergeCell ref="C8:G8"/>
    <mergeCell ref="H11:N11"/>
    <mergeCell ref="O11:AD11"/>
    <mergeCell ref="C12:G12"/>
    <mergeCell ref="H12:N12"/>
    <mergeCell ref="O12:AD12"/>
    <mergeCell ref="C13:G13"/>
    <mergeCell ref="H13:N13"/>
    <mergeCell ref="O13:AD13"/>
    <mergeCell ref="C9:G9"/>
    <mergeCell ref="H9:N9"/>
    <mergeCell ref="O9:AD9"/>
    <mergeCell ref="C10:G10"/>
    <mergeCell ref="H10:N10"/>
    <mergeCell ref="O10:AD10"/>
    <mergeCell ref="C11:G11"/>
  </mergeCell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1" max="13" width="2.78"/>
    <col customWidth="1" hidden="1" min="14" max="14" width="14.56"/>
    <col customWidth="1" min="15" max="35" width="2.78"/>
    <col customWidth="1" min="36" max="36" width="32.78"/>
  </cols>
  <sheetData>
    <row r="1" ht="19.5" customHeight="1">
      <c r="A1" s="40" t="s">
        <v>17</v>
      </c>
      <c r="B1" s="19"/>
      <c r="C1" s="41" t="str">
        <f>'表紙'!A2</f>
        <v>うぇぶや姫
テーブル定義書/DB項目定義書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19"/>
      <c r="S1" s="42" t="s">
        <v>18</v>
      </c>
      <c r="T1" s="14"/>
      <c r="U1" s="15"/>
      <c r="V1" s="12" t="s">
        <v>8</v>
      </c>
      <c r="W1" s="12"/>
      <c r="X1" s="12"/>
      <c r="Y1" s="12"/>
      <c r="Z1" s="12"/>
      <c r="AA1" s="12"/>
      <c r="AB1" s="42" t="s">
        <v>19</v>
      </c>
      <c r="AC1" s="14"/>
      <c r="AD1" s="15"/>
      <c r="AE1" s="43">
        <v>46022.0</v>
      </c>
      <c r="AF1" s="14"/>
      <c r="AG1" s="14"/>
      <c r="AH1" s="14"/>
      <c r="AI1" s="15"/>
      <c r="AJ1" s="44" t="s">
        <v>20</v>
      </c>
    </row>
    <row r="2" ht="19.5" customHeight="1">
      <c r="A2" s="45"/>
      <c r="B2" s="46"/>
      <c r="C2" s="45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6"/>
      <c r="S2" s="42" t="s">
        <v>21</v>
      </c>
      <c r="T2" s="14"/>
      <c r="U2" s="15"/>
      <c r="V2" s="48"/>
      <c r="W2" s="14"/>
      <c r="X2" s="14"/>
      <c r="Y2" s="14"/>
      <c r="Z2" s="14"/>
      <c r="AA2" s="15"/>
      <c r="AB2" s="42" t="s">
        <v>22</v>
      </c>
      <c r="AC2" s="14"/>
      <c r="AD2" s="15"/>
      <c r="AE2" s="48"/>
      <c r="AF2" s="14"/>
      <c r="AG2" s="14"/>
      <c r="AH2" s="14"/>
      <c r="AI2" s="15"/>
      <c r="AJ2" s="49"/>
    </row>
    <row r="3" ht="19.5" customHeight="1">
      <c r="A3" s="12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49"/>
    </row>
    <row r="4" ht="19.5" customHeight="1">
      <c r="A4" s="42" t="s">
        <v>23</v>
      </c>
      <c r="B4" s="14"/>
      <c r="C4" s="14"/>
      <c r="D4" s="14"/>
      <c r="E4" s="15"/>
      <c r="F4" s="48" t="s">
        <v>15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49"/>
    </row>
    <row r="5" ht="19.5" customHeight="1">
      <c r="A5" s="42" t="s">
        <v>24</v>
      </c>
      <c r="B5" s="14"/>
      <c r="C5" s="14"/>
      <c r="D5" s="14"/>
      <c r="E5" s="15"/>
      <c r="F5" s="51" t="s">
        <v>25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49"/>
    </row>
    <row r="6" ht="19.5" customHeight="1">
      <c r="A6" s="42" t="s">
        <v>26</v>
      </c>
      <c r="B6" s="14"/>
      <c r="C6" s="14"/>
      <c r="D6" s="14"/>
      <c r="E6" s="15"/>
      <c r="F6" s="48" t="s">
        <v>27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5"/>
      <c r="AJ6" s="49"/>
    </row>
    <row r="7" ht="19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49"/>
    </row>
    <row r="8" ht="19.5" customHeight="1">
      <c r="A8" s="52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49"/>
    </row>
    <row r="9" ht="19.5" customHeight="1">
      <c r="A9" s="32" t="s">
        <v>11</v>
      </c>
      <c r="B9" s="13" t="s">
        <v>29</v>
      </c>
      <c r="C9" s="14"/>
      <c r="D9" s="14"/>
      <c r="E9" s="15"/>
      <c r="F9" s="13" t="s">
        <v>30</v>
      </c>
      <c r="G9" s="14"/>
      <c r="H9" s="14"/>
      <c r="I9" s="15"/>
      <c r="J9" s="13" t="s">
        <v>31</v>
      </c>
      <c r="K9" s="14"/>
      <c r="L9" s="14"/>
      <c r="M9" s="15"/>
      <c r="N9" s="32" t="s">
        <v>32</v>
      </c>
      <c r="O9" s="13" t="s">
        <v>33</v>
      </c>
      <c r="P9" s="15"/>
      <c r="Q9" s="13" t="s">
        <v>34</v>
      </c>
      <c r="R9" s="15"/>
      <c r="S9" s="13" t="s">
        <v>35</v>
      </c>
      <c r="T9" s="15"/>
      <c r="U9" s="13" t="s">
        <v>36</v>
      </c>
      <c r="V9" s="15"/>
      <c r="W9" s="13" t="s">
        <v>37</v>
      </c>
      <c r="X9" s="15"/>
      <c r="Y9" s="13" t="s">
        <v>26</v>
      </c>
      <c r="Z9" s="14"/>
      <c r="AA9" s="14"/>
      <c r="AB9" s="14"/>
      <c r="AC9" s="14"/>
      <c r="AD9" s="14"/>
      <c r="AE9" s="14"/>
      <c r="AF9" s="14"/>
      <c r="AG9" s="14"/>
      <c r="AH9" s="14"/>
      <c r="AI9" s="53"/>
      <c r="AJ9" s="54"/>
    </row>
    <row r="10" ht="19.5" customHeight="1">
      <c r="A10" s="55">
        <f t="shared" ref="A10:A17" si="1">ROW()-ROW(B$9)</f>
        <v>1</v>
      </c>
      <c r="B10" s="56" t="s">
        <v>38</v>
      </c>
      <c r="C10" s="14"/>
      <c r="D10" s="14"/>
      <c r="E10" s="15"/>
      <c r="F10" s="56" t="s">
        <v>39</v>
      </c>
      <c r="G10" s="14"/>
      <c r="H10" s="14"/>
      <c r="I10" s="15"/>
      <c r="J10" s="57" t="s">
        <v>40</v>
      </c>
      <c r="K10" s="14"/>
      <c r="L10" s="14"/>
      <c r="M10" s="15"/>
      <c r="N10" s="58" t="str">
        <f>VLOOKUP($J10,データ型と桁数指定_postgre,2,FALSE)</f>
        <v/>
      </c>
      <c r="O10" s="59"/>
      <c r="P10" s="15"/>
      <c r="Q10" s="59"/>
      <c r="R10" s="15"/>
      <c r="S10" s="59" t="s">
        <v>41</v>
      </c>
      <c r="T10" s="15"/>
      <c r="U10" s="59" t="s">
        <v>41</v>
      </c>
      <c r="V10" s="15"/>
      <c r="W10" s="57"/>
      <c r="X10" s="15"/>
      <c r="Y10" s="60" t="s">
        <v>42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61"/>
    </row>
    <row r="11" ht="19.5" customHeight="1">
      <c r="A11" s="55">
        <f t="shared" si="1"/>
        <v>2</v>
      </c>
      <c r="B11" s="56" t="s">
        <v>43</v>
      </c>
      <c r="C11" s="14"/>
      <c r="D11" s="14"/>
      <c r="E11" s="15"/>
      <c r="F11" s="62" t="s">
        <v>44</v>
      </c>
      <c r="G11" s="14"/>
      <c r="H11" s="14"/>
      <c r="I11" s="15"/>
      <c r="J11" s="57" t="s">
        <v>45</v>
      </c>
      <c r="K11" s="14"/>
      <c r="L11" s="14"/>
      <c r="M11" s="15"/>
      <c r="N11" s="58" t="str">
        <f>VLOOKUP($J11,データ型と桁数指定_postgre,2,FALSE)</f>
        <v/>
      </c>
      <c r="O11" s="59">
        <v>50.0</v>
      </c>
      <c r="P11" s="15"/>
      <c r="Q11" s="59"/>
      <c r="R11" s="15"/>
      <c r="S11" s="59" t="s">
        <v>46</v>
      </c>
      <c r="T11" s="15"/>
      <c r="U11" s="59" t="s">
        <v>41</v>
      </c>
      <c r="V11" s="15"/>
      <c r="W11" s="57"/>
      <c r="X11" s="15"/>
      <c r="Y11" s="63"/>
      <c r="Z11" s="21"/>
      <c r="AA11" s="21"/>
      <c r="AB11" s="21"/>
      <c r="AC11" s="21"/>
      <c r="AD11" s="21"/>
      <c r="AE11" s="21"/>
      <c r="AF11" s="21"/>
      <c r="AG11" s="21"/>
      <c r="AH11" s="21"/>
      <c r="AI11" s="19"/>
      <c r="AJ11" s="64"/>
    </row>
    <row r="12" ht="19.5" customHeight="1">
      <c r="A12" s="55">
        <f t="shared" si="1"/>
        <v>3</v>
      </c>
      <c r="B12" s="56" t="s">
        <v>47</v>
      </c>
      <c r="C12" s="14"/>
      <c r="D12" s="14"/>
      <c r="E12" s="15"/>
      <c r="F12" s="62" t="s">
        <v>48</v>
      </c>
      <c r="G12" s="14"/>
      <c r="H12" s="14"/>
      <c r="I12" s="15"/>
      <c r="J12" s="57" t="s">
        <v>45</v>
      </c>
      <c r="K12" s="14"/>
      <c r="L12" s="14"/>
      <c r="M12" s="15"/>
      <c r="N12" s="58" t="str">
        <f>VLOOKUP($J12,データ型と桁数指定_postgre,2,FALSE)</f>
        <v/>
      </c>
      <c r="O12" s="59">
        <v>5000.0</v>
      </c>
      <c r="P12" s="15"/>
      <c r="Q12" s="59"/>
      <c r="R12" s="15"/>
      <c r="S12" s="59" t="s">
        <v>46</v>
      </c>
      <c r="T12" s="15"/>
      <c r="U12" s="59" t="s">
        <v>41</v>
      </c>
      <c r="V12" s="15"/>
      <c r="W12" s="57"/>
      <c r="X12" s="15"/>
      <c r="Y12" s="63"/>
      <c r="Z12" s="21"/>
      <c r="AA12" s="21"/>
      <c r="AB12" s="21"/>
      <c r="AC12" s="21"/>
      <c r="AD12" s="21"/>
      <c r="AE12" s="21"/>
      <c r="AF12" s="21"/>
      <c r="AG12" s="21"/>
      <c r="AH12" s="21"/>
      <c r="AI12" s="19"/>
      <c r="AJ12" s="64"/>
    </row>
    <row r="13" ht="19.5" customHeight="1">
      <c r="A13" s="55">
        <f t="shared" si="1"/>
        <v>4</v>
      </c>
      <c r="B13" s="56" t="s">
        <v>49</v>
      </c>
      <c r="C13" s="14"/>
      <c r="D13" s="14"/>
      <c r="E13" s="15"/>
      <c r="F13" s="56" t="s">
        <v>50</v>
      </c>
      <c r="G13" s="14"/>
      <c r="H13" s="14"/>
      <c r="I13" s="15"/>
      <c r="J13" s="57" t="s">
        <v>40</v>
      </c>
      <c r="K13" s="14"/>
      <c r="L13" s="14"/>
      <c r="M13" s="15"/>
      <c r="N13" s="58"/>
      <c r="O13" s="59"/>
      <c r="P13" s="15"/>
      <c r="Q13" s="59"/>
      <c r="R13" s="15"/>
      <c r="S13" s="59" t="s">
        <v>46</v>
      </c>
      <c r="T13" s="15"/>
      <c r="U13" s="59" t="s">
        <v>41</v>
      </c>
      <c r="V13" s="15"/>
      <c r="W13" s="57" t="s">
        <v>51</v>
      </c>
      <c r="X13" s="15"/>
      <c r="Y13" s="63" t="s">
        <v>52</v>
      </c>
      <c r="Z13" s="21"/>
      <c r="AA13" s="21"/>
      <c r="AB13" s="21"/>
      <c r="AC13" s="21"/>
      <c r="AD13" s="21"/>
      <c r="AE13" s="21"/>
      <c r="AF13" s="21"/>
      <c r="AG13" s="21"/>
      <c r="AH13" s="21"/>
      <c r="AI13" s="19"/>
      <c r="AJ13" s="64"/>
    </row>
    <row r="14" ht="19.5" customHeight="1">
      <c r="A14" s="55">
        <f t="shared" si="1"/>
        <v>5</v>
      </c>
      <c r="B14" s="62" t="s">
        <v>53</v>
      </c>
      <c r="C14" s="14"/>
      <c r="D14" s="14"/>
      <c r="E14" s="15"/>
      <c r="F14" s="62" t="s">
        <v>54</v>
      </c>
      <c r="G14" s="14"/>
      <c r="H14" s="14"/>
      <c r="I14" s="15"/>
      <c r="J14" s="65" t="s">
        <v>55</v>
      </c>
      <c r="K14" s="14"/>
      <c r="L14" s="14"/>
      <c r="M14" s="15"/>
      <c r="N14" s="58" t="s">
        <v>41</v>
      </c>
      <c r="O14" s="66">
        <v>36.0</v>
      </c>
      <c r="P14" s="15"/>
      <c r="Q14" s="66"/>
      <c r="R14" s="15"/>
      <c r="S14" s="66" t="s">
        <v>46</v>
      </c>
      <c r="T14" s="15"/>
      <c r="U14" s="59" t="s">
        <v>41</v>
      </c>
      <c r="V14" s="15"/>
      <c r="W14" s="65" t="s">
        <v>56</v>
      </c>
      <c r="X14" s="15"/>
      <c r="Y14" s="67"/>
      <c r="Z14" s="21"/>
      <c r="AA14" s="21"/>
      <c r="AB14" s="21"/>
      <c r="AC14" s="21"/>
      <c r="AD14" s="21"/>
      <c r="AE14" s="21"/>
      <c r="AF14" s="21"/>
      <c r="AG14" s="21"/>
      <c r="AH14" s="21"/>
      <c r="AI14" s="19"/>
      <c r="AJ14" s="64"/>
    </row>
    <row r="15" ht="19.5" customHeight="1">
      <c r="A15" s="55">
        <f t="shared" si="1"/>
        <v>6</v>
      </c>
      <c r="B15" s="56" t="s">
        <v>57</v>
      </c>
      <c r="C15" s="14"/>
      <c r="D15" s="14"/>
      <c r="E15" s="15"/>
      <c r="F15" s="56" t="s">
        <v>58</v>
      </c>
      <c r="G15" s="14"/>
      <c r="H15" s="14"/>
      <c r="I15" s="15"/>
      <c r="J15" s="57" t="s">
        <v>59</v>
      </c>
      <c r="K15" s="14"/>
      <c r="L15" s="14"/>
      <c r="M15" s="15"/>
      <c r="N15" s="58" t="str">
        <f>VLOOKUP($J15,データ型と桁数指定_postgre,2,FALSE)</f>
        <v/>
      </c>
      <c r="O15" s="59"/>
      <c r="P15" s="15"/>
      <c r="Q15" s="68" t="s">
        <v>60</v>
      </c>
      <c r="R15" s="15"/>
      <c r="S15" s="59" t="s">
        <v>46</v>
      </c>
      <c r="T15" s="15"/>
      <c r="U15" s="59" t="s">
        <v>41</v>
      </c>
      <c r="V15" s="15"/>
      <c r="W15" s="65"/>
      <c r="X15" s="15"/>
      <c r="Y15" s="63"/>
      <c r="Z15" s="21"/>
      <c r="AA15" s="21"/>
      <c r="AB15" s="21"/>
      <c r="AC15" s="21"/>
      <c r="AD15" s="21"/>
      <c r="AE15" s="21"/>
      <c r="AF15" s="21"/>
      <c r="AG15" s="21"/>
      <c r="AH15" s="21"/>
      <c r="AI15" s="19"/>
      <c r="AJ15" s="64"/>
    </row>
    <row r="16" ht="19.5" customHeight="1">
      <c r="A16" s="55">
        <f t="shared" si="1"/>
        <v>7</v>
      </c>
      <c r="B16" s="56" t="s">
        <v>61</v>
      </c>
      <c r="C16" s="14"/>
      <c r="D16" s="14"/>
      <c r="E16" s="15"/>
      <c r="F16" s="56" t="s">
        <v>62</v>
      </c>
      <c r="G16" s="14"/>
      <c r="H16" s="14"/>
      <c r="I16" s="15"/>
      <c r="J16" s="57" t="s">
        <v>59</v>
      </c>
      <c r="K16" s="14"/>
      <c r="L16" s="14"/>
      <c r="M16" s="15"/>
      <c r="N16" s="58" t="str">
        <f>VLOOKUP($J16,データ型と桁数指定_postgre,2,FALSE)</f>
        <v/>
      </c>
      <c r="O16" s="59"/>
      <c r="P16" s="15"/>
      <c r="Q16" s="69" t="s">
        <v>60</v>
      </c>
      <c r="R16" s="46"/>
      <c r="S16" s="59" t="s">
        <v>46</v>
      </c>
      <c r="T16" s="15"/>
      <c r="U16" s="59" t="s">
        <v>41</v>
      </c>
      <c r="V16" s="15"/>
      <c r="W16" s="65"/>
      <c r="X16" s="15"/>
      <c r="Y16" s="70"/>
      <c r="Z16" s="14"/>
      <c r="AA16" s="14"/>
      <c r="AB16" s="14"/>
      <c r="AC16" s="14"/>
      <c r="AD16" s="14"/>
      <c r="AE16" s="14"/>
      <c r="AF16" s="14"/>
      <c r="AG16" s="14"/>
      <c r="AH16" s="14"/>
      <c r="AI16" s="15"/>
      <c r="AJ16" s="64"/>
    </row>
    <row r="17" ht="19.5" customHeight="1">
      <c r="A17" s="55">
        <f t="shared" si="1"/>
        <v>8</v>
      </c>
      <c r="B17" s="56" t="s">
        <v>63</v>
      </c>
      <c r="C17" s="14"/>
      <c r="D17" s="14"/>
      <c r="E17" s="15"/>
      <c r="F17" s="62" t="s">
        <v>64</v>
      </c>
      <c r="G17" s="14"/>
      <c r="H17" s="14"/>
      <c r="I17" s="15"/>
      <c r="J17" s="57" t="s">
        <v>65</v>
      </c>
      <c r="K17" s="14"/>
      <c r="L17" s="14"/>
      <c r="M17" s="15"/>
      <c r="N17" s="58" t="str">
        <f>VLOOKUP($J17,データ型と桁数指定_postgre,2,FALSE)</f>
        <v/>
      </c>
      <c r="O17" s="59"/>
      <c r="P17" s="15"/>
      <c r="Q17" s="71" t="s">
        <v>66</v>
      </c>
      <c r="R17" s="15"/>
      <c r="S17" s="59" t="s">
        <v>46</v>
      </c>
      <c r="T17" s="15"/>
      <c r="U17" s="59" t="s">
        <v>41</v>
      </c>
      <c r="V17" s="15"/>
      <c r="W17" s="57"/>
      <c r="X17" s="15"/>
      <c r="Y17" s="70"/>
      <c r="Z17" s="14"/>
      <c r="AA17" s="14"/>
      <c r="AB17" s="14"/>
      <c r="AC17" s="14"/>
      <c r="AD17" s="14"/>
      <c r="AE17" s="14"/>
      <c r="AF17" s="14"/>
      <c r="AG17" s="14"/>
      <c r="AH17" s="14"/>
      <c r="AI17" s="15"/>
      <c r="AJ17" s="64"/>
    </row>
    <row r="18" ht="19.5" customHeight="1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3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4"/>
      <c r="X18" s="74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6"/>
    </row>
    <row r="19" ht="19.5" customHeight="1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4"/>
      <c r="X19" s="74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/>
    </row>
    <row r="20" ht="19.5" customHeight="1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4"/>
      <c r="X20" s="74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6"/>
    </row>
    <row r="21" ht="19.5" customHeight="1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4"/>
      <c r="X21" s="74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6"/>
    </row>
    <row r="22" ht="19.5" customHeight="1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4"/>
      <c r="X22" s="74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6"/>
    </row>
    <row r="23" ht="19.5" customHeight="1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4"/>
      <c r="X23" s="74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12"/>
    </row>
    <row r="24" ht="19.5" customHeight="1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4"/>
      <c r="X24" s="74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12"/>
    </row>
    <row r="25" ht="19.5" customHeigh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4"/>
      <c r="X25" s="74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12"/>
    </row>
    <row r="26" ht="19.5" customHeight="1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  <c r="X26" s="74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12"/>
    </row>
    <row r="27" ht="19.5" customHeight="1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4"/>
      <c r="X27" s="74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12"/>
    </row>
    <row r="28" ht="19.5" customHeight="1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  <c r="X28" s="74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12"/>
    </row>
    <row r="29" ht="19.5" customHeight="1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  <c r="X29" s="74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12"/>
    </row>
    <row r="30" ht="19.5" customHeight="1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  <c r="X30" s="74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12"/>
    </row>
    <row r="31" ht="19.5" customHeight="1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4"/>
      <c r="X31" s="74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12"/>
    </row>
    <row r="32" ht="19.5" customHeight="1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  <c r="X32" s="74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12"/>
    </row>
    <row r="33" ht="19.5" customHeight="1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4"/>
      <c r="X33" s="74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12"/>
    </row>
    <row r="34" ht="19.5" customHeight="1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  <c r="X34" s="74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12"/>
    </row>
    <row r="35" ht="19.5" customHeight="1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4"/>
      <c r="X35" s="74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12"/>
    </row>
    <row r="36" ht="19.5" customHeight="1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4"/>
      <c r="X36" s="74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12"/>
    </row>
    <row r="37" ht="19.5" customHeight="1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4"/>
      <c r="X37" s="74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12"/>
    </row>
    <row r="38" ht="19.5" customHeight="1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  <c r="X38" s="74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12"/>
    </row>
    <row r="39" ht="19.5" customHeight="1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4"/>
      <c r="X39" s="74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12"/>
    </row>
    <row r="40" ht="19.5" customHeight="1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12"/>
    </row>
    <row r="41" ht="19.5" customHeight="1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4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12"/>
    </row>
    <row r="42" ht="19.5" customHeight="1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74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12"/>
    </row>
    <row r="43" ht="19.5" customHeight="1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  <c r="X43" s="74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12"/>
    </row>
    <row r="44" ht="19.5" customHeight="1">
      <c r="A44" s="7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4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12"/>
    </row>
    <row r="45" ht="19.5" customHeight="1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4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12"/>
    </row>
    <row r="46" ht="19.5" customHeight="1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4"/>
      <c r="X46" s="74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12"/>
    </row>
    <row r="47" ht="19.5" customHeight="1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4"/>
      <c r="X47" s="74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12"/>
    </row>
    <row r="48" ht="19.5" customHeight="1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4"/>
      <c r="X48" s="74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12"/>
    </row>
    <row r="49" ht="19.5" customHeight="1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4"/>
      <c r="X49" s="74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12"/>
    </row>
    <row r="50" ht="19.5" customHeight="1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4"/>
      <c r="X50" s="74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12"/>
    </row>
    <row r="51" ht="19.5" customHeight="1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  <c r="X51" s="74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12"/>
    </row>
    <row r="52" ht="19.5" customHeight="1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4"/>
      <c r="X52" s="74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12"/>
    </row>
    <row r="53" ht="19.5" customHeight="1">
      <c r="A53" s="7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4"/>
      <c r="X53" s="74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12"/>
    </row>
    <row r="54" ht="19.5" customHeight="1">
      <c r="A54" s="72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4"/>
      <c r="X54" s="74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12"/>
    </row>
    <row r="55" ht="19.5" customHeight="1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4"/>
      <c r="X55" s="74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12"/>
    </row>
    <row r="56" ht="19.5" customHeight="1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4"/>
      <c r="X56" s="74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12"/>
    </row>
    <row r="57" ht="19.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4"/>
      <c r="X57" s="74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12"/>
    </row>
    <row r="58" ht="19.5" customHeight="1">
      <c r="A58" s="72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4"/>
      <c r="X58" s="74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12"/>
    </row>
    <row r="59" ht="19.5" customHeight="1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X59" s="74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12"/>
    </row>
    <row r="60" ht="19.5" customHeight="1">
      <c r="A60" s="72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  <c r="X60" s="74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12"/>
    </row>
    <row r="61" ht="19.5" customHeight="1">
      <c r="A61" s="72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4"/>
      <c r="X61" s="74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12"/>
    </row>
    <row r="62" ht="19.5" customHeight="1">
      <c r="A62" s="72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12"/>
    </row>
    <row r="63" ht="19.5" customHeight="1">
      <c r="A63" s="72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4"/>
      <c r="X63" s="74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12"/>
    </row>
    <row r="64" ht="19.5" customHeight="1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4"/>
      <c r="X64" s="74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12"/>
    </row>
    <row r="65" ht="19.5" customHeight="1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4"/>
      <c r="X65" s="74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12"/>
    </row>
    <row r="66" ht="19.5" customHeight="1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4"/>
      <c r="X66" s="74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12"/>
    </row>
    <row r="67" ht="19.5" customHeight="1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  <c r="X67" s="74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12"/>
    </row>
    <row r="68" ht="19.5" customHeight="1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4"/>
      <c r="X68" s="74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12"/>
    </row>
    <row r="69" ht="19.5" customHeight="1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4"/>
      <c r="X69" s="74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12"/>
    </row>
    <row r="70" ht="19.5" customHeight="1">
      <c r="A70" s="72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4"/>
      <c r="X70" s="7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12"/>
    </row>
    <row r="71" ht="19.5" customHeight="1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4"/>
      <c r="X71" s="74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12"/>
    </row>
    <row r="72" ht="19.5" customHeight="1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4"/>
      <c r="X72" s="74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12"/>
    </row>
    <row r="73" ht="19.5" customHeight="1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4"/>
      <c r="X73" s="74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12"/>
    </row>
    <row r="74" ht="19.5" customHeight="1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4"/>
      <c r="X74" s="74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12"/>
    </row>
    <row r="75" ht="19.5" customHeight="1">
      <c r="A75" s="72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4"/>
      <c r="X75" s="74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12"/>
    </row>
    <row r="76" ht="19.5" customHeight="1">
      <c r="A76" s="72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4"/>
      <c r="X76" s="74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12"/>
    </row>
    <row r="77" ht="19.5" customHeight="1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  <c r="X77" s="74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12"/>
    </row>
    <row r="78" ht="19.5" customHeight="1">
      <c r="A78" s="72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4"/>
      <c r="X78" s="74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12"/>
    </row>
    <row r="79" ht="19.5" customHeight="1">
      <c r="A79" s="72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4"/>
      <c r="X79" s="74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12"/>
    </row>
    <row r="80" ht="19.5" customHeight="1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4"/>
      <c r="X80" s="74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12"/>
    </row>
    <row r="81" ht="19.5" customHeight="1">
      <c r="A81" s="72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4"/>
      <c r="X81" s="74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12"/>
    </row>
    <row r="82" ht="19.5" customHeight="1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4"/>
      <c r="X82" s="74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12"/>
    </row>
    <row r="83" ht="19.5" customHeight="1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4"/>
      <c r="X83" s="74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12"/>
    </row>
    <row r="84" ht="19.5" customHeight="1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4"/>
      <c r="X84" s="74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12"/>
    </row>
    <row r="85" ht="19.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4"/>
      <c r="X85" s="74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12"/>
    </row>
    <row r="86" ht="19.5" customHeight="1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4"/>
      <c r="X86" s="74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12"/>
    </row>
    <row r="87" ht="19.5" customHeight="1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4"/>
      <c r="X87" s="74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12"/>
    </row>
    <row r="88" ht="19.5" customHeight="1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4"/>
      <c r="X88" s="74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12"/>
    </row>
    <row r="89" ht="19.5" customHeight="1">
      <c r="A89" s="72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4"/>
      <c r="X89" s="74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12"/>
    </row>
    <row r="90" ht="19.5" customHeight="1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  <c r="X90" s="74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12"/>
    </row>
    <row r="91" ht="19.5" customHeight="1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4"/>
      <c r="X91" s="74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12"/>
    </row>
    <row r="92" ht="19.5" customHeight="1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4"/>
      <c r="X92" s="74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12"/>
    </row>
    <row r="93" ht="19.5" customHeight="1">
      <c r="A93" s="72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4"/>
      <c r="X93" s="74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12"/>
    </row>
    <row r="94" ht="19.5" customHeight="1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4"/>
      <c r="X94" s="74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12"/>
    </row>
    <row r="95" ht="19.5" customHeight="1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4"/>
      <c r="X95" s="74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12"/>
    </row>
    <row r="96" ht="19.5" customHeight="1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4"/>
      <c r="X96" s="74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12"/>
    </row>
    <row r="97" ht="19.5" customHeight="1">
      <c r="A97" s="72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4"/>
      <c r="X97" s="74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12"/>
    </row>
    <row r="98" ht="19.5" customHeight="1">
      <c r="A98" s="72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4"/>
      <c r="X98" s="74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12"/>
    </row>
    <row r="99" ht="19.5" customHeight="1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4"/>
      <c r="X99" s="74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12"/>
    </row>
    <row r="100" ht="19.5" customHeight="1">
      <c r="A100" s="72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4"/>
      <c r="X100" s="74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12"/>
    </row>
    <row r="101" ht="19.5" customHeight="1">
      <c r="A101" s="72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4"/>
      <c r="X101" s="74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12"/>
    </row>
    <row r="102" ht="19.5" customHeight="1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  <c r="X102" s="74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12"/>
    </row>
    <row r="103" ht="19.5" customHeight="1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4"/>
      <c r="X103" s="74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12"/>
    </row>
    <row r="104" ht="19.5" customHeight="1">
      <c r="A104" s="7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4"/>
      <c r="X104" s="74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12"/>
    </row>
    <row r="105" ht="19.5" customHeight="1">
      <c r="A105" s="7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4"/>
      <c r="X105" s="74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12"/>
    </row>
    <row r="106" ht="19.5" customHeight="1">
      <c r="A106" s="7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4"/>
      <c r="X106" s="74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12"/>
    </row>
    <row r="107" ht="19.5" customHeight="1">
      <c r="A107" s="7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4"/>
      <c r="X107" s="74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12"/>
    </row>
    <row r="108" ht="19.5" customHeight="1">
      <c r="A108" s="7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4"/>
      <c r="X108" s="74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12"/>
    </row>
    <row r="109" ht="19.5" customHeight="1">
      <c r="A109" s="7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4"/>
      <c r="X109" s="74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12"/>
    </row>
    <row r="110" ht="19.5" customHeight="1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  <c r="X110" s="74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12"/>
    </row>
    <row r="111" ht="19.5" customHeight="1">
      <c r="A111" s="7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4"/>
      <c r="X111" s="74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12"/>
    </row>
    <row r="112" ht="19.5" customHeight="1">
      <c r="A112" s="7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4"/>
      <c r="X112" s="74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12"/>
    </row>
    <row r="113" ht="19.5" customHeight="1">
      <c r="A113" s="72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4"/>
      <c r="X113" s="74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12"/>
    </row>
    <row r="114" ht="19.5" customHeight="1">
      <c r="A114" s="72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4"/>
      <c r="X114" s="74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12"/>
    </row>
    <row r="115" ht="19.5" customHeight="1">
      <c r="A115" s="72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4"/>
      <c r="X115" s="74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12"/>
    </row>
    <row r="116" ht="19.5" customHeight="1">
      <c r="A116" s="72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4"/>
      <c r="X116" s="74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12"/>
    </row>
    <row r="117" ht="19.5" customHeight="1">
      <c r="A117" s="72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4"/>
      <c r="X117" s="74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12"/>
    </row>
    <row r="118" ht="19.5" customHeight="1">
      <c r="A118" s="72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4"/>
      <c r="X118" s="74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12"/>
    </row>
    <row r="119" ht="19.5" customHeight="1">
      <c r="A119" s="72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4"/>
      <c r="X119" s="74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12"/>
    </row>
    <row r="120" ht="19.5" customHeight="1">
      <c r="A120" s="72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4"/>
      <c r="X120" s="74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12"/>
    </row>
    <row r="121" ht="19.5" customHeight="1">
      <c r="A121" s="72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4"/>
      <c r="X121" s="74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12"/>
    </row>
    <row r="122" ht="19.5" customHeight="1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4"/>
      <c r="X122" s="74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12"/>
    </row>
    <row r="123" ht="19.5" customHeight="1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4"/>
      <c r="X123" s="74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12"/>
    </row>
    <row r="124" ht="19.5" customHeight="1">
      <c r="A124" s="72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4"/>
      <c r="X124" s="74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12"/>
    </row>
    <row r="125" ht="19.5" customHeight="1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  <c r="X125" s="74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12"/>
    </row>
    <row r="126" ht="19.5" customHeight="1">
      <c r="A126" s="72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4"/>
      <c r="X126" s="74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12"/>
    </row>
    <row r="127" ht="19.5" customHeight="1">
      <c r="A127" s="72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4"/>
      <c r="X127" s="74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12"/>
    </row>
    <row r="128" ht="19.5" customHeight="1">
      <c r="A128" s="72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4"/>
      <c r="X128" s="74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12"/>
    </row>
    <row r="129" ht="19.5" customHeight="1">
      <c r="A129" s="72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4"/>
      <c r="X129" s="74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12"/>
    </row>
    <row r="130" ht="19.5" customHeight="1">
      <c r="A130" s="72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4"/>
      <c r="X130" s="74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12"/>
    </row>
    <row r="131" ht="19.5" customHeight="1">
      <c r="A131" s="72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4"/>
      <c r="X131" s="74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12"/>
    </row>
    <row r="132" ht="19.5" customHeight="1">
      <c r="A132" s="72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4"/>
      <c r="X132" s="74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12"/>
    </row>
    <row r="133" ht="19.5" customHeight="1">
      <c r="A133" s="72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4"/>
      <c r="X133" s="74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12"/>
    </row>
    <row r="134" ht="19.5" customHeight="1">
      <c r="A134" s="72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4"/>
      <c r="X134" s="74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12"/>
    </row>
    <row r="135" ht="19.5" customHeight="1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  <c r="X135" s="74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12"/>
    </row>
    <row r="136" ht="19.5" customHeight="1">
      <c r="A136" s="72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4"/>
      <c r="X136" s="74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12"/>
    </row>
    <row r="137" ht="19.5" customHeight="1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4"/>
      <c r="X137" s="74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12"/>
    </row>
    <row r="138" ht="19.5" customHeight="1">
      <c r="A138" s="72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4"/>
      <c r="X138" s="74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12"/>
    </row>
    <row r="139" ht="19.5" customHeight="1">
      <c r="A139" s="72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4"/>
      <c r="X139" s="74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12"/>
    </row>
    <row r="140" ht="19.5" customHeight="1">
      <c r="A140" s="72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4"/>
      <c r="X140" s="74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12"/>
    </row>
    <row r="141" ht="19.5" customHeight="1">
      <c r="A141" s="72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4"/>
      <c r="X141" s="74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12"/>
    </row>
    <row r="142" ht="19.5" customHeight="1">
      <c r="A142" s="72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4"/>
      <c r="X142" s="74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12"/>
    </row>
    <row r="143" ht="19.5" customHeight="1">
      <c r="A143" s="72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4"/>
      <c r="X143" s="74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12"/>
    </row>
    <row r="144" ht="19.5" customHeight="1">
      <c r="A144" s="72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4"/>
      <c r="X144" s="74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12"/>
    </row>
    <row r="145" ht="19.5" customHeight="1">
      <c r="A145" s="72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4"/>
      <c r="X145" s="74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12"/>
    </row>
    <row r="146" ht="19.5" customHeight="1">
      <c r="A146" s="72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4"/>
      <c r="X146" s="74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12"/>
    </row>
    <row r="147" ht="19.5" customHeight="1">
      <c r="A147" s="72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4"/>
      <c r="X147" s="74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12"/>
    </row>
    <row r="148" ht="19.5" customHeight="1">
      <c r="A148" s="72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4"/>
      <c r="X148" s="74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12"/>
    </row>
    <row r="149" ht="19.5" customHeight="1">
      <c r="A149" s="72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4"/>
      <c r="X149" s="74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12"/>
    </row>
    <row r="150" ht="19.5" customHeight="1">
      <c r="A150" s="72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4"/>
      <c r="X150" s="74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12"/>
    </row>
    <row r="151" ht="19.5" customHeight="1">
      <c r="A151" s="72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4"/>
      <c r="X151" s="74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12"/>
    </row>
    <row r="152" ht="19.5" customHeight="1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4"/>
      <c r="X152" s="74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12"/>
    </row>
    <row r="153" ht="19.5" customHeight="1">
      <c r="A153" s="72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4"/>
      <c r="X153" s="74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12"/>
    </row>
    <row r="154" ht="19.5" customHeight="1">
      <c r="A154" s="72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4"/>
      <c r="X154" s="74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12"/>
    </row>
    <row r="155" ht="19.5" customHeight="1">
      <c r="A155" s="72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4"/>
      <c r="X155" s="74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12"/>
    </row>
    <row r="156" ht="19.5" customHeight="1">
      <c r="A156" s="72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4"/>
      <c r="X156" s="74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12"/>
    </row>
    <row r="157" ht="19.5" customHeight="1">
      <c r="A157" s="72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4"/>
      <c r="X157" s="74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12"/>
    </row>
    <row r="158" ht="19.5" customHeight="1">
      <c r="A158" s="72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4"/>
      <c r="X158" s="74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12"/>
    </row>
    <row r="159" ht="19.5" customHeight="1">
      <c r="A159" s="72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4"/>
      <c r="X159" s="74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12"/>
    </row>
    <row r="160" ht="19.5" customHeight="1">
      <c r="A160" s="72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4"/>
      <c r="X160" s="74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12"/>
    </row>
    <row r="161" ht="19.5" customHeight="1">
      <c r="A161" s="72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4"/>
      <c r="X161" s="74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12"/>
    </row>
    <row r="162" ht="19.5" customHeight="1">
      <c r="A162" s="72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4"/>
      <c r="X162" s="74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12"/>
    </row>
    <row r="163" ht="19.5" customHeight="1">
      <c r="A163" s="72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4"/>
      <c r="X163" s="74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12"/>
    </row>
    <row r="164" ht="19.5" customHeight="1">
      <c r="A164" s="72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4"/>
      <c r="X164" s="74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12"/>
    </row>
    <row r="165" ht="19.5" customHeight="1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  <c r="X165" s="74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12"/>
    </row>
    <row r="166" ht="19.5" customHeight="1">
      <c r="A166" s="72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4"/>
      <c r="X166" s="74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12"/>
    </row>
    <row r="167" ht="19.5" customHeight="1">
      <c r="A167" s="72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4"/>
      <c r="X167" s="74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12"/>
    </row>
    <row r="168" ht="19.5" customHeight="1">
      <c r="A168" s="72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4"/>
      <c r="X168" s="74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12"/>
    </row>
    <row r="169" ht="19.5" customHeight="1">
      <c r="A169" s="72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4"/>
      <c r="X169" s="74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12"/>
    </row>
    <row r="170" ht="19.5" customHeight="1">
      <c r="A170" s="72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4"/>
      <c r="X170" s="74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12"/>
    </row>
    <row r="171" ht="19.5" customHeight="1">
      <c r="A171" s="72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4"/>
      <c r="X171" s="74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12"/>
    </row>
    <row r="172" ht="19.5" customHeight="1">
      <c r="A172" s="72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4"/>
      <c r="X172" s="74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12"/>
    </row>
    <row r="173" ht="19.5" customHeight="1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4"/>
      <c r="X173" s="74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12"/>
    </row>
    <row r="174" ht="19.5" customHeight="1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4"/>
      <c r="X174" s="74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12"/>
    </row>
    <row r="175" ht="19.5" customHeight="1">
      <c r="A175" s="72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4"/>
      <c r="X175" s="74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12"/>
    </row>
    <row r="176" ht="19.5" customHeight="1">
      <c r="A176" s="72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4"/>
      <c r="X176" s="74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12"/>
    </row>
    <row r="177" ht="19.5" customHeight="1">
      <c r="A177" s="72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4"/>
      <c r="X177" s="74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12"/>
    </row>
    <row r="178" ht="19.5" customHeight="1">
      <c r="A178" s="72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4"/>
      <c r="X178" s="74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12"/>
    </row>
    <row r="179" ht="19.5" customHeight="1">
      <c r="A179" s="72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4"/>
      <c r="X179" s="74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12"/>
    </row>
    <row r="180" ht="19.5" customHeight="1">
      <c r="A180" s="72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4"/>
      <c r="X180" s="74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12"/>
    </row>
    <row r="181" ht="19.5" customHeight="1">
      <c r="A181" s="72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4"/>
      <c r="X181" s="74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12"/>
    </row>
    <row r="182" ht="19.5" customHeight="1">
      <c r="A182" s="72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4"/>
      <c r="X182" s="74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12"/>
    </row>
    <row r="183" ht="19.5" customHeight="1">
      <c r="A183" s="72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4"/>
      <c r="X183" s="74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12"/>
    </row>
    <row r="184" ht="19.5" customHeight="1">
      <c r="A184" s="72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4"/>
      <c r="X184" s="74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12"/>
    </row>
    <row r="185" ht="19.5" customHeight="1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  <c r="X185" s="74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12"/>
    </row>
    <row r="186" ht="19.5" customHeight="1">
      <c r="A186" s="72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4"/>
      <c r="X186" s="74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12"/>
    </row>
    <row r="187" ht="19.5" customHeight="1">
      <c r="A187" s="72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4"/>
      <c r="X187" s="74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12"/>
    </row>
    <row r="188" ht="19.5" customHeight="1">
      <c r="A188" s="72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4"/>
      <c r="X188" s="74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12"/>
    </row>
    <row r="189" ht="19.5" customHeight="1">
      <c r="A189" s="72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4"/>
      <c r="X189" s="74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12"/>
    </row>
    <row r="190" ht="19.5" customHeight="1">
      <c r="A190" s="72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4"/>
      <c r="X190" s="74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12"/>
    </row>
    <row r="191" ht="19.5" customHeight="1">
      <c r="A191" s="72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4"/>
      <c r="X191" s="74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12"/>
    </row>
    <row r="192" ht="19.5" customHeight="1">
      <c r="A192" s="72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4"/>
      <c r="X192" s="74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12"/>
    </row>
    <row r="193" ht="19.5" customHeight="1">
      <c r="A193" s="72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4"/>
      <c r="X193" s="74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12"/>
    </row>
    <row r="194" ht="19.5" customHeight="1">
      <c r="A194" s="72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4"/>
      <c r="X194" s="74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12"/>
    </row>
    <row r="195" ht="19.5" customHeight="1">
      <c r="A195" s="72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4"/>
      <c r="X195" s="74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12"/>
    </row>
    <row r="196" ht="19.5" customHeight="1">
      <c r="A196" s="72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4"/>
      <c r="X196" s="74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12"/>
    </row>
    <row r="197" ht="19.5" customHeight="1">
      <c r="A197" s="72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4"/>
      <c r="X197" s="74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12"/>
    </row>
    <row r="198" ht="19.5" customHeight="1">
      <c r="A198" s="72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4"/>
      <c r="X198" s="74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12"/>
    </row>
    <row r="199" ht="19.5" customHeight="1">
      <c r="A199" s="72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4"/>
      <c r="X199" s="74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12"/>
    </row>
    <row r="200" ht="19.5" customHeight="1">
      <c r="A200" s="72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4"/>
      <c r="X200" s="74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12"/>
    </row>
    <row r="201" ht="19.5" customHeight="1">
      <c r="A201" s="72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4"/>
      <c r="X201" s="74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12"/>
    </row>
    <row r="202" ht="19.5" customHeight="1">
      <c r="A202" s="72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4"/>
      <c r="X202" s="74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12"/>
    </row>
    <row r="203" ht="19.5" customHeight="1">
      <c r="A203" s="72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4"/>
      <c r="X203" s="74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12"/>
    </row>
    <row r="204" ht="19.5" customHeight="1">
      <c r="A204" s="72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4"/>
      <c r="X204" s="74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12"/>
    </row>
    <row r="205" ht="19.5" customHeight="1">
      <c r="A205" s="72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4"/>
      <c r="X205" s="74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12"/>
    </row>
    <row r="206" ht="19.5" customHeight="1">
      <c r="A206" s="72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4"/>
      <c r="X206" s="74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12"/>
    </row>
    <row r="207" ht="19.5" customHeight="1">
      <c r="A207" s="72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4"/>
      <c r="X207" s="74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12"/>
    </row>
    <row r="208" ht="19.5" customHeight="1">
      <c r="A208" s="72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4"/>
      <c r="X208" s="74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12"/>
    </row>
    <row r="209" ht="19.5" customHeight="1">
      <c r="A209" s="72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4"/>
      <c r="X209" s="74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12"/>
    </row>
    <row r="210" ht="19.5" customHeight="1">
      <c r="A210" s="72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4"/>
      <c r="X210" s="74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12"/>
    </row>
    <row r="211" ht="19.5" customHeight="1">
      <c r="A211" s="72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4"/>
      <c r="X211" s="74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12"/>
    </row>
    <row r="212" ht="19.5" customHeight="1">
      <c r="A212" s="72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4"/>
      <c r="X212" s="74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12"/>
    </row>
    <row r="213" ht="19.5" customHeight="1">
      <c r="A213" s="72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4"/>
      <c r="X213" s="74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12"/>
    </row>
    <row r="214" ht="19.5" customHeight="1">
      <c r="A214" s="72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4"/>
      <c r="X214" s="74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12"/>
    </row>
    <row r="215" ht="19.5" customHeight="1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4"/>
      <c r="X215" s="74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12"/>
    </row>
    <row r="216" ht="19.5" customHeight="1">
      <c r="A216" s="72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4"/>
      <c r="X216" s="74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12"/>
    </row>
    <row r="217" ht="19.5" customHeight="1">
      <c r="A217" s="72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4"/>
      <c r="X217" s="74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12"/>
    </row>
    <row r="218" ht="19.5" customHeight="1">
      <c r="A218" s="72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4"/>
      <c r="X218" s="74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12"/>
    </row>
    <row r="219" ht="19.5" customHeight="1">
      <c r="A219" s="72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4"/>
      <c r="X219" s="74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12"/>
    </row>
    <row r="220" ht="19.5" customHeight="1">
      <c r="A220" s="72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4"/>
      <c r="X220" s="74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12"/>
    </row>
    <row r="221" ht="19.5" customHeight="1">
      <c r="A221" s="72"/>
      <c r="B221" s="73"/>
      <c r="C221" s="73"/>
      <c r="D221" s="73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73"/>
      <c r="Q221" s="73"/>
      <c r="R221" s="73"/>
      <c r="S221" s="73"/>
      <c r="T221" s="73"/>
      <c r="U221" s="73"/>
      <c r="V221" s="73"/>
      <c r="W221" s="74"/>
      <c r="X221" s="74"/>
      <c r="Y221" s="75"/>
      <c r="Z221" s="75"/>
      <c r="AA221" s="75"/>
      <c r="AB221" s="75"/>
      <c r="AC221" s="75"/>
      <c r="AD221" s="75"/>
      <c r="AE221" s="75"/>
      <c r="AF221" s="75"/>
      <c r="AG221" s="75"/>
      <c r="AH221" s="75"/>
      <c r="AI221" s="75"/>
      <c r="AJ221" s="1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  <row r="1001" ht="19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</row>
  </sheetData>
  <mergeCells count="97">
    <mergeCell ref="J10:M10"/>
    <mergeCell ref="O10:P10"/>
    <mergeCell ref="Q10:R10"/>
    <mergeCell ref="S10:T10"/>
    <mergeCell ref="U10:V10"/>
    <mergeCell ref="W10:X10"/>
    <mergeCell ref="Y10:AI10"/>
    <mergeCell ref="F10:I10"/>
    <mergeCell ref="F11:I11"/>
    <mergeCell ref="J11:M11"/>
    <mergeCell ref="O11:P11"/>
    <mergeCell ref="Q11:R11"/>
    <mergeCell ref="S11:T11"/>
    <mergeCell ref="U11:V11"/>
    <mergeCell ref="U12:V12"/>
    <mergeCell ref="W12:X12"/>
    <mergeCell ref="W11:X11"/>
    <mergeCell ref="Y11:AI11"/>
    <mergeCell ref="J12:M12"/>
    <mergeCell ref="O12:P12"/>
    <mergeCell ref="Q12:R12"/>
    <mergeCell ref="S12:T12"/>
    <mergeCell ref="Y12:AI12"/>
    <mergeCell ref="B13:E13"/>
    <mergeCell ref="B14:E14"/>
    <mergeCell ref="B15:E15"/>
    <mergeCell ref="B16:E16"/>
    <mergeCell ref="B17:E17"/>
    <mergeCell ref="A1:B2"/>
    <mergeCell ref="A4:E4"/>
    <mergeCell ref="A5:E5"/>
    <mergeCell ref="A6:E6"/>
    <mergeCell ref="B10:E10"/>
    <mergeCell ref="B11:E11"/>
    <mergeCell ref="B12:E12"/>
    <mergeCell ref="W13:X13"/>
    <mergeCell ref="Y13:AI13"/>
    <mergeCell ref="J14:M14"/>
    <mergeCell ref="O14:P14"/>
    <mergeCell ref="Q14:R14"/>
    <mergeCell ref="S14:T14"/>
    <mergeCell ref="U14:V14"/>
    <mergeCell ref="W14:X14"/>
    <mergeCell ref="Y14:AI14"/>
    <mergeCell ref="F12:I12"/>
    <mergeCell ref="F13:I13"/>
    <mergeCell ref="J13:M13"/>
    <mergeCell ref="O13:P13"/>
    <mergeCell ref="Q13:R13"/>
    <mergeCell ref="S13:T13"/>
    <mergeCell ref="U13:V13"/>
    <mergeCell ref="F17:I17"/>
    <mergeCell ref="J17:M17"/>
    <mergeCell ref="O17:P17"/>
    <mergeCell ref="Q17:R17"/>
    <mergeCell ref="S17:T17"/>
    <mergeCell ref="U17:V17"/>
    <mergeCell ref="W17:X17"/>
    <mergeCell ref="F14:I14"/>
    <mergeCell ref="F15:I15"/>
    <mergeCell ref="J15:M15"/>
    <mergeCell ref="O15:P15"/>
    <mergeCell ref="Q15:R15"/>
    <mergeCell ref="S15:T15"/>
    <mergeCell ref="U15:V15"/>
    <mergeCell ref="V2:AA2"/>
    <mergeCell ref="AB2:AD2"/>
    <mergeCell ref="F4:AI4"/>
    <mergeCell ref="F5:AI5"/>
    <mergeCell ref="C1:R2"/>
    <mergeCell ref="S1:U1"/>
    <mergeCell ref="AB1:AD1"/>
    <mergeCell ref="AE1:AI1"/>
    <mergeCell ref="AJ1:AJ9"/>
    <mergeCell ref="S2:U2"/>
    <mergeCell ref="AE2:AI2"/>
    <mergeCell ref="Y9:AI9"/>
    <mergeCell ref="U9:V9"/>
    <mergeCell ref="W9:X9"/>
    <mergeCell ref="F6:AI6"/>
    <mergeCell ref="B9:E9"/>
    <mergeCell ref="F9:I9"/>
    <mergeCell ref="J9:M9"/>
    <mergeCell ref="O9:P9"/>
    <mergeCell ref="Q9:R9"/>
    <mergeCell ref="S9:T9"/>
    <mergeCell ref="W15:X15"/>
    <mergeCell ref="Y15:AI15"/>
    <mergeCell ref="Y17:AI17"/>
    <mergeCell ref="F16:I16"/>
    <mergeCell ref="J16:M16"/>
    <mergeCell ref="O16:P16"/>
    <mergeCell ref="Q16:R16"/>
    <mergeCell ref="S16:T16"/>
    <mergeCell ref="U16:V16"/>
    <mergeCell ref="W16:X16"/>
    <mergeCell ref="Y16:AI16"/>
  </mergeCells>
  <conditionalFormatting sqref="O10:P17">
    <cfRule type="expression" dxfId="0" priority="1">
      <formula>AND(N10="〇",$O10="")</formula>
    </cfRule>
  </conditionalFormatting>
  <dataValidations>
    <dataValidation type="list" allowBlank="1" showErrorMessage="1" sqref="S10:S17 U10:U17">
      <formula1>'プルダウン'!$A$2:$A$3</formula1>
    </dataValidation>
    <dataValidation type="list" allowBlank="1" showErrorMessage="1" sqref="J10:J17">
      <formula1>'データ型'!$C$3:$C$300</formula1>
    </dataValidation>
  </dataValidations>
  <hyperlinks>
    <hyperlink display="一覧に戻る" location="'テーブル一覧'!A1" ref="A8"/>
  </hyperlink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1" max="13" width="2.78"/>
    <col customWidth="1" hidden="1" min="14" max="14" width="14.56"/>
    <col customWidth="1" min="15" max="35" width="2.78"/>
    <col customWidth="1" min="36" max="36" width="32.78"/>
  </cols>
  <sheetData>
    <row r="1" ht="19.5" customHeight="1">
      <c r="A1" s="40" t="s">
        <v>17</v>
      </c>
      <c r="B1" s="19"/>
      <c r="C1" s="41" t="str">
        <f>'表紙'!A2</f>
        <v>うぇぶや姫
テーブル定義書/DB項目定義書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19"/>
      <c r="S1" s="42" t="s">
        <v>18</v>
      </c>
      <c r="T1" s="14"/>
      <c r="U1" s="15"/>
      <c r="V1" s="12" t="s">
        <v>8</v>
      </c>
      <c r="W1" s="12"/>
      <c r="X1" s="12"/>
      <c r="Y1" s="12"/>
      <c r="Z1" s="12"/>
      <c r="AA1" s="12"/>
      <c r="AB1" s="42" t="s">
        <v>19</v>
      </c>
      <c r="AC1" s="14"/>
      <c r="AD1" s="15"/>
      <c r="AE1" s="43">
        <v>46022.0</v>
      </c>
      <c r="AF1" s="14"/>
      <c r="AG1" s="14"/>
      <c r="AH1" s="14"/>
      <c r="AI1" s="15"/>
      <c r="AJ1" s="44" t="s">
        <v>67</v>
      </c>
    </row>
    <row r="2" ht="19.5" customHeight="1">
      <c r="A2" s="45"/>
      <c r="B2" s="46"/>
      <c r="C2" s="45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6"/>
      <c r="S2" s="42" t="s">
        <v>21</v>
      </c>
      <c r="T2" s="14"/>
      <c r="U2" s="15"/>
      <c r="V2" s="48"/>
      <c r="W2" s="14"/>
      <c r="X2" s="14"/>
      <c r="Y2" s="14"/>
      <c r="Z2" s="14"/>
      <c r="AA2" s="15"/>
      <c r="AB2" s="42" t="s">
        <v>22</v>
      </c>
      <c r="AC2" s="14"/>
      <c r="AD2" s="15"/>
      <c r="AE2" s="48"/>
      <c r="AF2" s="14"/>
      <c r="AG2" s="14"/>
      <c r="AH2" s="14"/>
      <c r="AI2" s="15"/>
      <c r="AJ2" s="49"/>
    </row>
    <row r="3" ht="19.5" customHeight="1">
      <c r="A3" s="12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49"/>
    </row>
    <row r="4" ht="19.5" customHeight="1">
      <c r="A4" s="42" t="s">
        <v>23</v>
      </c>
      <c r="B4" s="14"/>
      <c r="C4" s="14"/>
      <c r="D4" s="14"/>
      <c r="E4" s="15"/>
      <c r="F4" s="48" t="s">
        <v>16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49"/>
    </row>
    <row r="5" ht="19.5" customHeight="1">
      <c r="A5" s="42" t="s">
        <v>24</v>
      </c>
      <c r="B5" s="14"/>
      <c r="C5" s="14"/>
      <c r="D5" s="14"/>
      <c r="E5" s="15"/>
      <c r="F5" s="48" t="s">
        <v>68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49"/>
    </row>
    <row r="6" ht="19.5" customHeight="1">
      <c r="A6" s="42" t="s">
        <v>26</v>
      </c>
      <c r="B6" s="14"/>
      <c r="C6" s="14"/>
      <c r="D6" s="14"/>
      <c r="E6" s="15"/>
      <c r="F6" s="48" t="s">
        <v>69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5"/>
      <c r="AJ6" s="49"/>
    </row>
    <row r="7" ht="19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49"/>
    </row>
    <row r="8" ht="19.5" customHeight="1">
      <c r="A8" s="52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49"/>
    </row>
    <row r="9" ht="19.5" customHeight="1">
      <c r="A9" s="32" t="s">
        <v>11</v>
      </c>
      <c r="B9" s="13" t="s">
        <v>29</v>
      </c>
      <c r="C9" s="14"/>
      <c r="D9" s="14"/>
      <c r="E9" s="15"/>
      <c r="F9" s="13" t="s">
        <v>30</v>
      </c>
      <c r="G9" s="14"/>
      <c r="H9" s="14"/>
      <c r="I9" s="15"/>
      <c r="J9" s="13" t="s">
        <v>31</v>
      </c>
      <c r="K9" s="14"/>
      <c r="L9" s="14"/>
      <c r="M9" s="15"/>
      <c r="N9" s="32" t="s">
        <v>32</v>
      </c>
      <c r="O9" s="13" t="s">
        <v>33</v>
      </c>
      <c r="P9" s="15"/>
      <c r="Q9" s="13" t="s">
        <v>34</v>
      </c>
      <c r="R9" s="15"/>
      <c r="S9" s="13" t="s">
        <v>35</v>
      </c>
      <c r="T9" s="15"/>
      <c r="U9" s="13" t="s">
        <v>36</v>
      </c>
      <c r="V9" s="15"/>
      <c r="W9" s="13" t="s">
        <v>37</v>
      </c>
      <c r="X9" s="15"/>
      <c r="Y9" s="13" t="s">
        <v>26</v>
      </c>
      <c r="Z9" s="14"/>
      <c r="AA9" s="14"/>
      <c r="AB9" s="14"/>
      <c r="AC9" s="14"/>
      <c r="AD9" s="14"/>
      <c r="AE9" s="14"/>
      <c r="AF9" s="14"/>
      <c r="AG9" s="14"/>
      <c r="AH9" s="14"/>
      <c r="AI9" s="53"/>
      <c r="AJ9" s="54"/>
    </row>
    <row r="10" ht="19.5" customHeight="1">
      <c r="A10" s="55">
        <f t="shared" ref="A10:A14" si="1">ROW()-ROW(B$9)</f>
        <v>1</v>
      </c>
      <c r="B10" s="56" t="s">
        <v>49</v>
      </c>
      <c r="C10" s="14"/>
      <c r="D10" s="14"/>
      <c r="E10" s="15"/>
      <c r="F10" s="56" t="s">
        <v>50</v>
      </c>
      <c r="G10" s="14"/>
      <c r="H10" s="14"/>
      <c r="I10" s="15"/>
      <c r="J10" s="57" t="s">
        <v>40</v>
      </c>
      <c r="K10" s="14"/>
      <c r="L10" s="14"/>
      <c r="M10" s="15"/>
      <c r="N10" s="58"/>
      <c r="O10" s="59"/>
      <c r="P10" s="15"/>
      <c r="Q10" s="59"/>
      <c r="R10" s="15"/>
      <c r="S10" s="59" t="s">
        <v>41</v>
      </c>
      <c r="T10" s="15"/>
      <c r="U10" s="59" t="s">
        <v>41</v>
      </c>
      <c r="V10" s="15"/>
      <c r="W10" s="59"/>
      <c r="X10" s="15"/>
      <c r="Y10" s="60" t="s">
        <v>42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61"/>
    </row>
    <row r="11" ht="19.5" customHeight="1">
      <c r="A11" s="55">
        <f t="shared" si="1"/>
        <v>2</v>
      </c>
      <c r="B11" s="56" t="s">
        <v>70</v>
      </c>
      <c r="C11" s="14"/>
      <c r="D11" s="14"/>
      <c r="E11" s="15"/>
      <c r="F11" s="56" t="s">
        <v>71</v>
      </c>
      <c r="G11" s="14"/>
      <c r="H11" s="14"/>
      <c r="I11" s="15"/>
      <c r="J11" s="57" t="s">
        <v>45</v>
      </c>
      <c r="K11" s="14"/>
      <c r="L11" s="14"/>
      <c r="M11" s="15"/>
      <c r="N11" s="58"/>
      <c r="O11" s="59">
        <v>50.0</v>
      </c>
      <c r="P11" s="15"/>
      <c r="Q11" s="59"/>
      <c r="R11" s="15"/>
      <c r="S11" s="59" t="s">
        <v>46</v>
      </c>
      <c r="T11" s="15"/>
      <c r="U11" s="59" t="s">
        <v>41</v>
      </c>
      <c r="V11" s="15"/>
      <c r="W11" s="59"/>
      <c r="X11" s="15"/>
      <c r="Y11" s="63"/>
      <c r="Z11" s="21"/>
      <c r="AA11" s="21"/>
      <c r="AB11" s="21"/>
      <c r="AC11" s="21"/>
      <c r="AD11" s="21"/>
      <c r="AE11" s="21"/>
      <c r="AF11" s="21"/>
      <c r="AG11" s="21"/>
      <c r="AH11" s="21"/>
      <c r="AI11" s="19"/>
      <c r="AJ11" s="64"/>
    </row>
    <row r="12" ht="19.5" customHeight="1">
      <c r="A12" s="55">
        <f t="shared" si="1"/>
        <v>3</v>
      </c>
      <c r="B12" s="56" t="s">
        <v>57</v>
      </c>
      <c r="C12" s="14"/>
      <c r="D12" s="14"/>
      <c r="E12" s="15"/>
      <c r="F12" s="56" t="s">
        <v>58</v>
      </c>
      <c r="G12" s="14"/>
      <c r="H12" s="14"/>
      <c r="I12" s="15"/>
      <c r="J12" s="57" t="s">
        <v>59</v>
      </c>
      <c r="K12" s="14"/>
      <c r="L12" s="14"/>
      <c r="M12" s="15"/>
      <c r="N12" s="58"/>
      <c r="O12" s="59"/>
      <c r="P12" s="15"/>
      <c r="Q12" s="77" t="s">
        <v>60</v>
      </c>
      <c r="R12" s="15"/>
      <c r="S12" s="59" t="s">
        <v>46</v>
      </c>
      <c r="T12" s="15"/>
      <c r="U12" s="59" t="s">
        <v>41</v>
      </c>
      <c r="V12" s="15"/>
      <c r="W12" s="77"/>
      <c r="X12" s="15"/>
      <c r="Y12" s="63"/>
      <c r="Z12" s="21"/>
      <c r="AA12" s="21"/>
      <c r="AB12" s="21"/>
      <c r="AC12" s="21"/>
      <c r="AD12" s="21"/>
      <c r="AE12" s="21"/>
      <c r="AF12" s="21"/>
      <c r="AG12" s="21"/>
      <c r="AH12" s="21"/>
      <c r="AI12" s="19"/>
      <c r="AJ12" s="64"/>
    </row>
    <row r="13" ht="19.5" customHeight="1">
      <c r="A13" s="55">
        <f t="shared" si="1"/>
        <v>4</v>
      </c>
      <c r="B13" s="56" t="s">
        <v>61</v>
      </c>
      <c r="C13" s="14"/>
      <c r="D13" s="14"/>
      <c r="E13" s="15"/>
      <c r="F13" s="56" t="s">
        <v>62</v>
      </c>
      <c r="G13" s="14"/>
      <c r="H13" s="14"/>
      <c r="I13" s="15"/>
      <c r="J13" s="57" t="s">
        <v>59</v>
      </c>
      <c r="K13" s="14"/>
      <c r="L13" s="14"/>
      <c r="M13" s="15"/>
      <c r="N13" s="58"/>
      <c r="O13" s="59"/>
      <c r="P13" s="15"/>
      <c r="Q13" s="78" t="s">
        <v>60</v>
      </c>
      <c r="R13" s="46"/>
      <c r="S13" s="59" t="s">
        <v>46</v>
      </c>
      <c r="T13" s="15"/>
      <c r="U13" s="59" t="s">
        <v>41</v>
      </c>
      <c r="V13" s="15"/>
      <c r="W13" s="78"/>
      <c r="X13" s="46"/>
      <c r="Y13" s="63"/>
      <c r="Z13" s="21"/>
      <c r="AA13" s="21"/>
      <c r="AB13" s="21"/>
      <c r="AC13" s="21"/>
      <c r="AD13" s="21"/>
      <c r="AE13" s="21"/>
      <c r="AF13" s="21"/>
      <c r="AG13" s="21"/>
      <c r="AH13" s="21"/>
      <c r="AI13" s="19"/>
      <c r="AJ13" s="64"/>
    </row>
    <row r="14" ht="19.5" customHeight="1">
      <c r="A14" s="55">
        <f t="shared" si="1"/>
        <v>5</v>
      </c>
      <c r="B14" s="56" t="s">
        <v>63</v>
      </c>
      <c r="C14" s="14"/>
      <c r="D14" s="14"/>
      <c r="E14" s="15"/>
      <c r="F14" s="62" t="s">
        <v>64</v>
      </c>
      <c r="G14" s="14"/>
      <c r="H14" s="14"/>
      <c r="I14" s="15"/>
      <c r="J14" s="57" t="s">
        <v>65</v>
      </c>
      <c r="K14" s="14"/>
      <c r="L14" s="14"/>
      <c r="M14" s="15"/>
      <c r="N14" s="58"/>
      <c r="O14" s="59"/>
      <c r="P14" s="15"/>
      <c r="Q14" s="71" t="s">
        <v>66</v>
      </c>
      <c r="R14" s="15"/>
      <c r="S14" s="59" t="s">
        <v>46</v>
      </c>
      <c r="T14" s="15"/>
      <c r="U14" s="59" t="s">
        <v>41</v>
      </c>
      <c r="V14" s="15"/>
      <c r="W14" s="59"/>
      <c r="X14" s="15"/>
      <c r="Y14" s="70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64"/>
    </row>
    <row r="15" ht="19.5" customHeight="1">
      <c r="A15" s="72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6"/>
    </row>
    <row r="16" ht="19.5" customHeight="1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6"/>
    </row>
    <row r="17" ht="19.5" customHeight="1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3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6"/>
    </row>
    <row r="18" ht="19.5" customHeight="1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6"/>
    </row>
    <row r="19" ht="19.5" customHeight="1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/>
    </row>
    <row r="20" ht="19.5" customHeight="1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12"/>
    </row>
    <row r="21" ht="19.5" customHeight="1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12"/>
    </row>
    <row r="22" ht="19.5" customHeight="1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12"/>
    </row>
    <row r="23" ht="19.5" customHeight="1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12"/>
    </row>
    <row r="24" ht="19.5" customHeight="1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12"/>
    </row>
    <row r="25" ht="19.5" customHeigh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12"/>
    </row>
    <row r="26" ht="19.5" customHeight="1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12"/>
    </row>
    <row r="27" ht="19.5" customHeight="1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12"/>
    </row>
    <row r="28" ht="19.5" customHeight="1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12"/>
    </row>
    <row r="29" ht="19.5" customHeight="1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12"/>
    </row>
    <row r="30" ht="19.5" customHeight="1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12"/>
    </row>
    <row r="31" ht="19.5" customHeight="1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12"/>
    </row>
    <row r="32" ht="19.5" customHeight="1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12"/>
    </row>
    <row r="33" ht="19.5" customHeight="1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12"/>
    </row>
    <row r="34" ht="19.5" customHeight="1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12"/>
    </row>
    <row r="35" ht="19.5" customHeight="1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12"/>
    </row>
    <row r="36" ht="19.5" customHeight="1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12"/>
    </row>
    <row r="37" ht="19.5" customHeight="1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3"/>
      <c r="X37" s="73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12"/>
    </row>
    <row r="38" ht="19.5" customHeight="1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3"/>
      <c r="X38" s="73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12"/>
    </row>
    <row r="39" ht="19.5" customHeight="1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12"/>
    </row>
    <row r="40" ht="19.5" customHeight="1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12"/>
    </row>
    <row r="41" ht="19.5" customHeight="1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12"/>
    </row>
    <row r="42" ht="19.5" customHeight="1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12"/>
    </row>
    <row r="43" ht="19.5" customHeight="1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12"/>
    </row>
    <row r="44" ht="19.5" customHeight="1">
      <c r="A44" s="7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12"/>
    </row>
    <row r="45" ht="19.5" customHeight="1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12"/>
    </row>
    <row r="46" ht="19.5" customHeight="1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12"/>
    </row>
    <row r="47" ht="19.5" customHeight="1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12"/>
    </row>
    <row r="48" ht="19.5" customHeight="1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12"/>
    </row>
    <row r="49" ht="19.5" customHeight="1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12"/>
    </row>
    <row r="50" ht="19.5" customHeight="1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12"/>
    </row>
    <row r="51" ht="19.5" customHeight="1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12"/>
    </row>
    <row r="52" ht="19.5" customHeight="1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12"/>
    </row>
    <row r="53" ht="19.5" customHeight="1">
      <c r="A53" s="7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12"/>
    </row>
    <row r="54" ht="19.5" customHeight="1">
      <c r="A54" s="72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12"/>
    </row>
    <row r="55" ht="19.5" customHeight="1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12"/>
    </row>
    <row r="56" ht="19.5" customHeight="1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12"/>
    </row>
    <row r="57" ht="19.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12"/>
    </row>
    <row r="58" ht="19.5" customHeight="1">
      <c r="A58" s="72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12"/>
    </row>
    <row r="59" ht="19.5" customHeight="1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12"/>
    </row>
    <row r="60" ht="19.5" customHeight="1">
      <c r="A60" s="72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12"/>
    </row>
    <row r="61" ht="19.5" customHeight="1">
      <c r="A61" s="72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12"/>
    </row>
    <row r="62" ht="19.5" customHeight="1">
      <c r="A62" s="72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12"/>
    </row>
    <row r="63" ht="19.5" customHeight="1">
      <c r="A63" s="72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12"/>
    </row>
    <row r="64" ht="19.5" customHeight="1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12"/>
    </row>
    <row r="65" ht="19.5" customHeight="1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12"/>
    </row>
    <row r="66" ht="19.5" customHeight="1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12"/>
    </row>
    <row r="67" ht="19.5" customHeight="1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12"/>
    </row>
    <row r="68" ht="19.5" customHeight="1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12"/>
    </row>
    <row r="69" ht="19.5" customHeight="1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12"/>
    </row>
    <row r="70" ht="19.5" customHeight="1">
      <c r="A70" s="72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12"/>
    </row>
    <row r="71" ht="19.5" customHeight="1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12"/>
    </row>
    <row r="72" ht="19.5" customHeight="1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12"/>
    </row>
    <row r="73" ht="19.5" customHeight="1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12"/>
    </row>
    <row r="74" ht="19.5" customHeight="1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12"/>
    </row>
    <row r="75" ht="19.5" customHeight="1">
      <c r="A75" s="72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12"/>
    </row>
    <row r="76" ht="19.5" customHeight="1">
      <c r="A76" s="72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12"/>
    </row>
    <row r="77" ht="19.5" customHeight="1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12"/>
    </row>
    <row r="78" ht="19.5" customHeight="1">
      <c r="A78" s="72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12"/>
    </row>
    <row r="79" ht="19.5" customHeight="1">
      <c r="A79" s="72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3"/>
      <c r="X79" s="73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12"/>
    </row>
    <row r="80" ht="19.5" customHeight="1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3"/>
      <c r="X80" s="73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12"/>
    </row>
    <row r="81" ht="19.5" customHeight="1">
      <c r="A81" s="72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3"/>
      <c r="X81" s="73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12"/>
    </row>
    <row r="82" ht="19.5" customHeight="1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12"/>
    </row>
    <row r="83" ht="19.5" customHeight="1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3"/>
      <c r="X83" s="73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12"/>
    </row>
    <row r="84" ht="19.5" customHeight="1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12"/>
    </row>
    <row r="85" ht="19.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3"/>
      <c r="X85" s="73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12"/>
    </row>
    <row r="86" ht="19.5" customHeight="1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3"/>
      <c r="X86" s="73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12"/>
    </row>
    <row r="87" ht="19.5" customHeight="1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3"/>
      <c r="X87" s="73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12"/>
    </row>
    <row r="88" ht="19.5" customHeight="1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3"/>
      <c r="X88" s="73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12"/>
    </row>
    <row r="89" ht="19.5" customHeight="1">
      <c r="A89" s="72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3"/>
      <c r="X89" s="73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12"/>
    </row>
    <row r="90" ht="19.5" customHeight="1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3"/>
      <c r="X90" s="73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12"/>
    </row>
    <row r="91" ht="19.5" customHeight="1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3"/>
      <c r="X91" s="73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12"/>
    </row>
    <row r="92" ht="19.5" customHeight="1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3"/>
      <c r="X92" s="73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12"/>
    </row>
    <row r="93" ht="19.5" customHeight="1">
      <c r="A93" s="72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3"/>
      <c r="X93" s="73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12"/>
    </row>
    <row r="94" ht="19.5" customHeight="1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3"/>
      <c r="X94" s="73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12"/>
    </row>
    <row r="95" ht="19.5" customHeight="1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3"/>
      <c r="X95" s="73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12"/>
    </row>
    <row r="96" ht="19.5" customHeight="1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3"/>
      <c r="X96" s="73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12"/>
    </row>
    <row r="97" ht="19.5" customHeight="1">
      <c r="A97" s="72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3"/>
      <c r="X97" s="73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12"/>
    </row>
    <row r="98" ht="19.5" customHeight="1">
      <c r="A98" s="72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3"/>
      <c r="X98" s="73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12"/>
    </row>
    <row r="99" ht="19.5" customHeight="1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3"/>
      <c r="X99" s="73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12"/>
    </row>
    <row r="100" ht="19.5" customHeight="1">
      <c r="A100" s="72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3"/>
      <c r="X100" s="73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12"/>
    </row>
    <row r="101" ht="19.5" customHeight="1">
      <c r="A101" s="72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3"/>
      <c r="X101" s="73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12"/>
    </row>
    <row r="102" ht="19.5" customHeight="1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3"/>
      <c r="X102" s="73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12"/>
    </row>
    <row r="103" ht="19.5" customHeight="1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3"/>
      <c r="X103" s="73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12"/>
    </row>
    <row r="104" ht="19.5" customHeight="1">
      <c r="A104" s="7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3"/>
      <c r="X104" s="73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12"/>
    </row>
    <row r="105" ht="19.5" customHeight="1">
      <c r="A105" s="7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3"/>
      <c r="X105" s="73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12"/>
    </row>
    <row r="106" ht="19.5" customHeight="1">
      <c r="A106" s="7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3"/>
      <c r="X106" s="73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12"/>
    </row>
    <row r="107" ht="19.5" customHeight="1">
      <c r="A107" s="7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3"/>
      <c r="X107" s="73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12"/>
    </row>
    <row r="108" ht="19.5" customHeight="1">
      <c r="A108" s="7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3"/>
      <c r="X108" s="73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12"/>
    </row>
    <row r="109" ht="19.5" customHeight="1">
      <c r="A109" s="7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3"/>
      <c r="X109" s="73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12"/>
    </row>
    <row r="110" ht="19.5" customHeight="1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3"/>
      <c r="X110" s="73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12"/>
    </row>
    <row r="111" ht="19.5" customHeight="1">
      <c r="A111" s="7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3"/>
      <c r="X111" s="73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12"/>
    </row>
    <row r="112" ht="19.5" customHeight="1">
      <c r="A112" s="7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3"/>
      <c r="X112" s="73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12"/>
    </row>
    <row r="113" ht="19.5" customHeight="1">
      <c r="A113" s="72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3"/>
      <c r="X113" s="73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12"/>
    </row>
    <row r="114" ht="19.5" customHeight="1">
      <c r="A114" s="72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3"/>
      <c r="X114" s="73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12"/>
    </row>
    <row r="115" ht="19.5" customHeight="1">
      <c r="A115" s="72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3"/>
      <c r="X115" s="73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12"/>
    </row>
    <row r="116" ht="19.5" customHeight="1">
      <c r="A116" s="72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3"/>
      <c r="X116" s="73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12"/>
    </row>
    <row r="117" ht="19.5" customHeight="1">
      <c r="A117" s="72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3"/>
      <c r="X117" s="73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12"/>
    </row>
    <row r="118" ht="19.5" customHeight="1">
      <c r="A118" s="72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3"/>
      <c r="X118" s="73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12"/>
    </row>
    <row r="119" ht="19.5" customHeight="1">
      <c r="A119" s="72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3"/>
      <c r="X119" s="73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12"/>
    </row>
    <row r="120" ht="19.5" customHeight="1">
      <c r="A120" s="72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3"/>
      <c r="X120" s="73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12"/>
    </row>
    <row r="121" ht="19.5" customHeight="1">
      <c r="A121" s="72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3"/>
      <c r="X121" s="73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12"/>
    </row>
    <row r="122" ht="19.5" customHeight="1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3"/>
      <c r="X122" s="73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12"/>
    </row>
    <row r="123" ht="19.5" customHeight="1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3"/>
      <c r="X123" s="73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12"/>
    </row>
    <row r="124" ht="19.5" customHeight="1">
      <c r="A124" s="72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3"/>
      <c r="X124" s="73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12"/>
    </row>
    <row r="125" ht="19.5" customHeight="1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3"/>
      <c r="X125" s="73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12"/>
    </row>
    <row r="126" ht="19.5" customHeight="1">
      <c r="A126" s="72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3"/>
      <c r="X126" s="73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12"/>
    </row>
    <row r="127" ht="19.5" customHeight="1">
      <c r="A127" s="72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3"/>
      <c r="X127" s="73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12"/>
    </row>
    <row r="128" ht="19.5" customHeight="1">
      <c r="A128" s="72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12"/>
    </row>
    <row r="129" ht="19.5" customHeight="1">
      <c r="A129" s="72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3"/>
      <c r="X129" s="73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12"/>
    </row>
    <row r="130" ht="19.5" customHeight="1">
      <c r="A130" s="72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3"/>
      <c r="X130" s="73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12"/>
    </row>
    <row r="131" ht="19.5" customHeight="1">
      <c r="A131" s="72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3"/>
      <c r="X131" s="73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12"/>
    </row>
    <row r="132" ht="19.5" customHeight="1">
      <c r="A132" s="72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12"/>
    </row>
    <row r="133" ht="19.5" customHeight="1">
      <c r="A133" s="72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3"/>
      <c r="X133" s="73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12"/>
    </row>
    <row r="134" ht="19.5" customHeight="1">
      <c r="A134" s="72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3"/>
      <c r="X134" s="73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12"/>
    </row>
    <row r="135" ht="19.5" customHeight="1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3"/>
      <c r="X135" s="73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12"/>
    </row>
    <row r="136" ht="19.5" customHeight="1">
      <c r="A136" s="72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3"/>
      <c r="X136" s="73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12"/>
    </row>
    <row r="137" ht="19.5" customHeight="1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3"/>
      <c r="X137" s="73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12"/>
    </row>
    <row r="138" ht="19.5" customHeight="1">
      <c r="A138" s="72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3"/>
      <c r="X138" s="73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12"/>
    </row>
    <row r="139" ht="19.5" customHeight="1">
      <c r="A139" s="72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3"/>
      <c r="X139" s="73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12"/>
    </row>
    <row r="140" ht="19.5" customHeight="1">
      <c r="A140" s="72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3"/>
      <c r="X140" s="73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12"/>
    </row>
    <row r="141" ht="19.5" customHeight="1">
      <c r="A141" s="72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3"/>
      <c r="X141" s="73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12"/>
    </row>
    <row r="142" ht="19.5" customHeight="1">
      <c r="A142" s="72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3"/>
      <c r="X142" s="73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12"/>
    </row>
    <row r="143" ht="19.5" customHeight="1">
      <c r="A143" s="72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3"/>
      <c r="X143" s="73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12"/>
    </row>
    <row r="144" ht="19.5" customHeight="1">
      <c r="A144" s="72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3"/>
      <c r="X144" s="73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12"/>
    </row>
    <row r="145" ht="19.5" customHeight="1">
      <c r="A145" s="72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3"/>
      <c r="X145" s="73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12"/>
    </row>
    <row r="146" ht="19.5" customHeight="1">
      <c r="A146" s="72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3"/>
      <c r="X146" s="73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12"/>
    </row>
    <row r="147" ht="19.5" customHeight="1">
      <c r="A147" s="72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3"/>
      <c r="X147" s="73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12"/>
    </row>
    <row r="148" ht="19.5" customHeight="1">
      <c r="A148" s="72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3"/>
      <c r="X148" s="73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12"/>
    </row>
    <row r="149" ht="19.5" customHeight="1">
      <c r="A149" s="72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3"/>
      <c r="X149" s="73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12"/>
    </row>
    <row r="150" ht="19.5" customHeight="1">
      <c r="A150" s="72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3"/>
      <c r="X150" s="73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12"/>
    </row>
    <row r="151" ht="19.5" customHeight="1">
      <c r="A151" s="72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3"/>
      <c r="X151" s="73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12"/>
    </row>
    <row r="152" ht="19.5" customHeight="1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3"/>
      <c r="X152" s="73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12"/>
    </row>
    <row r="153" ht="19.5" customHeight="1">
      <c r="A153" s="72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3"/>
      <c r="X153" s="73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12"/>
    </row>
    <row r="154" ht="19.5" customHeight="1">
      <c r="A154" s="72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3"/>
      <c r="X154" s="73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12"/>
    </row>
    <row r="155" ht="19.5" customHeight="1">
      <c r="A155" s="72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3"/>
      <c r="X155" s="73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12"/>
    </row>
    <row r="156" ht="19.5" customHeight="1">
      <c r="A156" s="72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3"/>
      <c r="X156" s="73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12"/>
    </row>
    <row r="157" ht="19.5" customHeight="1">
      <c r="A157" s="72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3"/>
      <c r="X157" s="73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12"/>
    </row>
    <row r="158" ht="19.5" customHeight="1">
      <c r="A158" s="72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3"/>
      <c r="X158" s="73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12"/>
    </row>
    <row r="159" ht="19.5" customHeight="1">
      <c r="A159" s="72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3"/>
      <c r="X159" s="73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12"/>
    </row>
    <row r="160" ht="19.5" customHeight="1">
      <c r="A160" s="72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12"/>
    </row>
    <row r="161" ht="19.5" customHeight="1">
      <c r="A161" s="72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12"/>
    </row>
    <row r="162" ht="19.5" customHeight="1">
      <c r="A162" s="72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3"/>
      <c r="X162" s="73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12"/>
    </row>
    <row r="163" ht="19.5" customHeight="1">
      <c r="A163" s="72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3"/>
      <c r="X163" s="73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12"/>
    </row>
    <row r="164" ht="19.5" customHeight="1">
      <c r="A164" s="72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3"/>
      <c r="X164" s="73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12"/>
    </row>
    <row r="165" ht="19.5" customHeight="1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3"/>
      <c r="X165" s="73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12"/>
    </row>
    <row r="166" ht="19.5" customHeight="1">
      <c r="A166" s="72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3"/>
      <c r="X166" s="73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12"/>
    </row>
    <row r="167" ht="19.5" customHeight="1">
      <c r="A167" s="72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3"/>
      <c r="X167" s="73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12"/>
    </row>
    <row r="168" ht="19.5" customHeight="1">
      <c r="A168" s="72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3"/>
      <c r="X168" s="73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12"/>
    </row>
    <row r="169" ht="19.5" customHeight="1">
      <c r="A169" s="72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3"/>
      <c r="X169" s="73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12"/>
    </row>
    <row r="170" ht="19.5" customHeight="1">
      <c r="A170" s="72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3"/>
      <c r="X170" s="73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12"/>
    </row>
    <row r="171" ht="19.5" customHeight="1">
      <c r="A171" s="72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3"/>
      <c r="X171" s="73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12"/>
    </row>
    <row r="172" ht="19.5" customHeight="1">
      <c r="A172" s="72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3"/>
      <c r="X172" s="73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12"/>
    </row>
    <row r="173" ht="19.5" customHeight="1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3"/>
      <c r="X173" s="73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12"/>
    </row>
    <row r="174" ht="19.5" customHeight="1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3"/>
      <c r="X174" s="73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12"/>
    </row>
    <row r="175" ht="19.5" customHeight="1">
      <c r="A175" s="72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3"/>
      <c r="X175" s="73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12"/>
    </row>
    <row r="176" ht="19.5" customHeight="1">
      <c r="A176" s="72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3"/>
      <c r="X176" s="73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12"/>
    </row>
    <row r="177" ht="19.5" customHeight="1">
      <c r="A177" s="72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3"/>
      <c r="X177" s="73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12"/>
    </row>
    <row r="178" ht="19.5" customHeight="1">
      <c r="A178" s="72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3"/>
      <c r="X178" s="73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12"/>
    </row>
    <row r="179" ht="19.5" customHeight="1">
      <c r="A179" s="72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3"/>
      <c r="X179" s="73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12"/>
    </row>
    <row r="180" ht="19.5" customHeight="1">
      <c r="A180" s="72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3"/>
      <c r="X180" s="73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12"/>
    </row>
    <row r="181" ht="19.5" customHeight="1">
      <c r="A181" s="72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3"/>
      <c r="X181" s="73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12"/>
    </row>
    <row r="182" ht="19.5" customHeight="1">
      <c r="A182" s="72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3"/>
      <c r="X182" s="73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12"/>
    </row>
    <row r="183" ht="19.5" customHeight="1">
      <c r="A183" s="72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3"/>
      <c r="X183" s="73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12"/>
    </row>
    <row r="184" ht="19.5" customHeight="1">
      <c r="A184" s="72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3"/>
      <c r="X184" s="73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12"/>
    </row>
    <row r="185" ht="19.5" customHeight="1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3"/>
      <c r="X185" s="73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12"/>
    </row>
    <row r="186" ht="19.5" customHeight="1">
      <c r="A186" s="72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3"/>
      <c r="X186" s="73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12"/>
    </row>
    <row r="187" ht="19.5" customHeight="1">
      <c r="A187" s="72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3"/>
      <c r="X187" s="73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12"/>
    </row>
    <row r="188" ht="19.5" customHeight="1">
      <c r="A188" s="72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3"/>
      <c r="X188" s="73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12"/>
    </row>
    <row r="189" ht="19.5" customHeight="1">
      <c r="A189" s="72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3"/>
      <c r="X189" s="73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12"/>
    </row>
    <row r="190" ht="19.5" customHeight="1">
      <c r="A190" s="72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12"/>
    </row>
    <row r="191" ht="19.5" customHeight="1">
      <c r="A191" s="72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3"/>
      <c r="X191" s="73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12"/>
    </row>
    <row r="192" ht="19.5" customHeight="1">
      <c r="A192" s="72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3"/>
      <c r="X192" s="73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12"/>
    </row>
    <row r="193" ht="19.5" customHeight="1">
      <c r="A193" s="72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3"/>
      <c r="X193" s="73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12"/>
    </row>
    <row r="194" ht="19.5" customHeight="1">
      <c r="A194" s="72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3"/>
      <c r="X194" s="73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12"/>
    </row>
    <row r="195" ht="19.5" customHeight="1">
      <c r="A195" s="72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3"/>
      <c r="X195" s="73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12"/>
    </row>
    <row r="196" ht="19.5" customHeight="1">
      <c r="A196" s="72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3"/>
      <c r="X196" s="73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12"/>
    </row>
    <row r="197" ht="19.5" customHeight="1">
      <c r="A197" s="72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3"/>
      <c r="X197" s="73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12"/>
    </row>
    <row r="198" ht="19.5" customHeight="1">
      <c r="A198" s="72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3"/>
      <c r="X198" s="73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12"/>
    </row>
    <row r="199" ht="19.5" customHeight="1">
      <c r="A199" s="72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3"/>
      <c r="X199" s="73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12"/>
    </row>
    <row r="200" ht="19.5" customHeight="1">
      <c r="A200" s="72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3"/>
      <c r="X200" s="73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12"/>
    </row>
    <row r="201" ht="19.5" customHeight="1">
      <c r="A201" s="72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3"/>
      <c r="X201" s="73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12"/>
    </row>
    <row r="202" ht="19.5" customHeight="1">
      <c r="A202" s="72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3"/>
      <c r="X202" s="73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12"/>
    </row>
    <row r="203" ht="19.5" customHeight="1">
      <c r="A203" s="72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3"/>
      <c r="X203" s="73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12"/>
    </row>
    <row r="204" ht="19.5" customHeight="1">
      <c r="A204" s="72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3"/>
      <c r="X204" s="73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12"/>
    </row>
    <row r="205" ht="19.5" customHeight="1">
      <c r="A205" s="72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3"/>
      <c r="X205" s="73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12"/>
    </row>
    <row r="206" ht="19.5" customHeight="1">
      <c r="A206" s="72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3"/>
      <c r="X206" s="73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12"/>
    </row>
    <row r="207" ht="19.5" customHeight="1">
      <c r="A207" s="72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3"/>
      <c r="X207" s="73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12"/>
    </row>
    <row r="208" ht="19.5" customHeight="1">
      <c r="A208" s="72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3"/>
      <c r="X208" s="73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12"/>
    </row>
    <row r="209" ht="19.5" customHeight="1">
      <c r="A209" s="72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3"/>
      <c r="X209" s="73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12"/>
    </row>
    <row r="210" ht="19.5" customHeight="1">
      <c r="A210" s="72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3"/>
      <c r="X210" s="73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12"/>
    </row>
    <row r="211" ht="19.5" customHeight="1">
      <c r="A211" s="72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3"/>
      <c r="X211" s="73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12"/>
    </row>
    <row r="212" ht="19.5" customHeight="1">
      <c r="A212" s="72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3"/>
      <c r="X212" s="73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12"/>
    </row>
    <row r="213" ht="19.5" customHeight="1">
      <c r="A213" s="72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3"/>
      <c r="X213" s="73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12"/>
    </row>
    <row r="214" ht="19.5" customHeight="1">
      <c r="A214" s="72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3"/>
      <c r="X214" s="73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12"/>
    </row>
    <row r="215" ht="19.5" customHeight="1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3"/>
      <c r="X215" s="73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12"/>
    </row>
    <row r="216" ht="19.5" customHeight="1">
      <c r="A216" s="72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3"/>
      <c r="X216" s="73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12"/>
    </row>
    <row r="217" ht="19.5" customHeight="1">
      <c r="A217" s="72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3"/>
      <c r="X217" s="73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12"/>
    </row>
    <row r="218" ht="19.5" customHeight="1">
      <c r="A218" s="72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3"/>
      <c r="X218" s="73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12"/>
    </row>
    <row r="219" ht="19.5" customHeight="1">
      <c r="A219" s="72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3"/>
      <c r="X219" s="73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12"/>
    </row>
    <row r="220" ht="19.5" customHeight="1">
      <c r="A220" s="72"/>
      <c r="B220" s="73"/>
      <c r="C220" s="73"/>
      <c r="D220" s="73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73"/>
      <c r="Q220" s="73"/>
      <c r="R220" s="73"/>
      <c r="S220" s="73"/>
      <c r="T220" s="73"/>
      <c r="U220" s="73"/>
      <c r="V220" s="73"/>
      <c r="W220" s="73"/>
      <c r="X220" s="73"/>
      <c r="Y220" s="75"/>
      <c r="Z220" s="75"/>
      <c r="AA220" s="75"/>
      <c r="AB220" s="75"/>
      <c r="AC220" s="75"/>
      <c r="AD220" s="75"/>
      <c r="AE220" s="75"/>
      <c r="AF220" s="75"/>
      <c r="AG220" s="75"/>
      <c r="AH220" s="75"/>
      <c r="AI220" s="75"/>
      <c r="AJ220" s="1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ht="19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70">
    <mergeCell ref="J10:M10"/>
    <mergeCell ref="O10:P10"/>
    <mergeCell ref="Q10:R10"/>
    <mergeCell ref="S10:T10"/>
    <mergeCell ref="U10:V10"/>
    <mergeCell ref="W10:X10"/>
    <mergeCell ref="Y10:AI10"/>
    <mergeCell ref="F10:I10"/>
    <mergeCell ref="F11:I11"/>
    <mergeCell ref="J11:M11"/>
    <mergeCell ref="O11:P11"/>
    <mergeCell ref="Q11:R11"/>
    <mergeCell ref="S11:T11"/>
    <mergeCell ref="U11:V11"/>
    <mergeCell ref="U12:V12"/>
    <mergeCell ref="W12:X12"/>
    <mergeCell ref="W11:X11"/>
    <mergeCell ref="Y11:AI11"/>
    <mergeCell ref="J12:M12"/>
    <mergeCell ref="O12:P12"/>
    <mergeCell ref="Q12:R12"/>
    <mergeCell ref="S12:T12"/>
    <mergeCell ref="Y12:AI12"/>
    <mergeCell ref="B13:E13"/>
    <mergeCell ref="B14:E14"/>
    <mergeCell ref="A1:B2"/>
    <mergeCell ref="A4:E4"/>
    <mergeCell ref="A5:E5"/>
    <mergeCell ref="A6:E6"/>
    <mergeCell ref="B10:E10"/>
    <mergeCell ref="B11:E11"/>
    <mergeCell ref="B12:E12"/>
    <mergeCell ref="V2:AA2"/>
    <mergeCell ref="AB2:AD2"/>
    <mergeCell ref="F4:AI4"/>
    <mergeCell ref="F5:AI5"/>
    <mergeCell ref="C1:R2"/>
    <mergeCell ref="S1:U1"/>
    <mergeCell ref="AB1:AD1"/>
    <mergeCell ref="AE1:AI1"/>
    <mergeCell ref="AJ1:AJ9"/>
    <mergeCell ref="S2:U2"/>
    <mergeCell ref="AE2:AI2"/>
    <mergeCell ref="Y9:AI9"/>
    <mergeCell ref="U9:V9"/>
    <mergeCell ref="W9:X9"/>
    <mergeCell ref="F6:AI6"/>
    <mergeCell ref="B9:E9"/>
    <mergeCell ref="F9:I9"/>
    <mergeCell ref="J9:M9"/>
    <mergeCell ref="O9:P9"/>
    <mergeCell ref="Q9:R9"/>
    <mergeCell ref="S9:T9"/>
    <mergeCell ref="W13:X13"/>
    <mergeCell ref="Y13:AI13"/>
    <mergeCell ref="F14:I14"/>
    <mergeCell ref="J14:M14"/>
    <mergeCell ref="O14:P14"/>
    <mergeCell ref="Q14:R14"/>
    <mergeCell ref="S14:T14"/>
    <mergeCell ref="U14:V14"/>
    <mergeCell ref="W14:X14"/>
    <mergeCell ref="Y14:AI14"/>
    <mergeCell ref="F12:I12"/>
    <mergeCell ref="F13:I13"/>
    <mergeCell ref="J13:M13"/>
    <mergeCell ref="O13:P13"/>
    <mergeCell ref="Q13:R13"/>
    <mergeCell ref="S13:T13"/>
    <mergeCell ref="U13:V13"/>
  </mergeCells>
  <conditionalFormatting sqref="O10:P14">
    <cfRule type="expression" dxfId="0" priority="1">
      <formula>AND(N10="〇",$O10="")</formula>
    </cfRule>
  </conditionalFormatting>
  <dataValidations>
    <dataValidation type="list" allowBlank="1" showErrorMessage="1" sqref="S10:S14 U10:U14">
      <formula1>'プルダウン'!$A$2:$A$3</formula1>
    </dataValidation>
    <dataValidation type="list" allowBlank="1" showErrorMessage="1" sqref="J10:J14">
      <formula1>'データ型'!$C$3:$C$300</formula1>
    </dataValidation>
  </dataValidations>
  <hyperlinks>
    <hyperlink display="一覧に戻る" location="'テーブル一覧'!A1" ref="A8"/>
  </hyperlink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1.22" defaultRowHeight="15.0"/>
  <cols>
    <col customWidth="1" min="1" max="13" width="2.78"/>
    <col customWidth="1" hidden="1" min="14" max="14" width="14.56"/>
    <col customWidth="1" min="15" max="35" width="2.78"/>
    <col customWidth="1" min="36" max="36" width="32.78"/>
  </cols>
  <sheetData>
    <row r="1" ht="19.5" customHeight="1">
      <c r="A1" s="40" t="s">
        <v>17</v>
      </c>
      <c r="B1" s="19"/>
      <c r="C1" s="41" t="str">
        <f>'表紙'!A2</f>
        <v>うぇぶや姫
テーブル定義書/DB項目定義書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19"/>
      <c r="S1" s="42" t="s">
        <v>18</v>
      </c>
      <c r="T1" s="14"/>
      <c r="U1" s="15"/>
      <c r="V1" s="12" t="s">
        <v>8</v>
      </c>
      <c r="W1" s="12"/>
      <c r="X1" s="12"/>
      <c r="Y1" s="12"/>
      <c r="Z1" s="12"/>
      <c r="AA1" s="12"/>
      <c r="AB1" s="42" t="s">
        <v>19</v>
      </c>
      <c r="AC1" s="14"/>
      <c r="AD1" s="15"/>
      <c r="AE1" s="43">
        <v>46022.0</v>
      </c>
      <c r="AF1" s="14"/>
      <c r="AG1" s="14"/>
      <c r="AH1" s="14"/>
      <c r="AI1" s="15"/>
      <c r="AJ1" s="44" t="s">
        <v>72</v>
      </c>
    </row>
    <row r="2" ht="19.5" customHeight="1">
      <c r="A2" s="45"/>
      <c r="B2" s="46"/>
      <c r="C2" s="45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6"/>
      <c r="S2" s="42" t="s">
        <v>21</v>
      </c>
      <c r="T2" s="14"/>
      <c r="U2" s="15"/>
      <c r="V2" s="48"/>
      <c r="W2" s="14"/>
      <c r="X2" s="14"/>
      <c r="Y2" s="14"/>
      <c r="Z2" s="14"/>
      <c r="AA2" s="15"/>
      <c r="AB2" s="42" t="s">
        <v>22</v>
      </c>
      <c r="AC2" s="14"/>
      <c r="AD2" s="15"/>
      <c r="AE2" s="48"/>
      <c r="AF2" s="14"/>
      <c r="AG2" s="14"/>
      <c r="AH2" s="14"/>
      <c r="AI2" s="15"/>
      <c r="AJ2" s="49"/>
    </row>
    <row r="3" ht="19.5" customHeight="1">
      <c r="A3" s="12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49"/>
    </row>
    <row r="4" ht="19.5" customHeight="1">
      <c r="A4" s="42" t="s">
        <v>23</v>
      </c>
      <c r="B4" s="14"/>
      <c r="C4" s="14"/>
      <c r="D4" s="14"/>
      <c r="E4" s="15"/>
      <c r="F4" s="51" t="s">
        <v>73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5"/>
      <c r="AJ4" s="49"/>
    </row>
    <row r="5" ht="19.5" customHeight="1">
      <c r="A5" s="42" t="s">
        <v>24</v>
      </c>
      <c r="B5" s="14"/>
      <c r="C5" s="14"/>
      <c r="D5" s="14"/>
      <c r="E5" s="15"/>
      <c r="F5" s="51" t="s">
        <v>74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5"/>
      <c r="AJ5" s="49"/>
    </row>
    <row r="6" ht="19.5" customHeight="1">
      <c r="A6" s="42" t="s">
        <v>26</v>
      </c>
      <c r="B6" s="14"/>
      <c r="C6" s="14"/>
      <c r="D6" s="14"/>
      <c r="E6" s="15"/>
      <c r="F6" s="51" t="s">
        <v>75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5"/>
      <c r="AJ6" s="49"/>
    </row>
    <row r="7" ht="19.5" customHeight="1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49"/>
    </row>
    <row r="8" ht="19.5" customHeight="1">
      <c r="A8" s="52" t="s">
        <v>28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49"/>
    </row>
    <row r="9" ht="19.5" customHeight="1">
      <c r="A9" s="32" t="s">
        <v>11</v>
      </c>
      <c r="B9" s="13" t="s">
        <v>29</v>
      </c>
      <c r="C9" s="14"/>
      <c r="D9" s="14"/>
      <c r="E9" s="15"/>
      <c r="F9" s="13" t="s">
        <v>30</v>
      </c>
      <c r="G9" s="14"/>
      <c r="H9" s="14"/>
      <c r="I9" s="15"/>
      <c r="J9" s="13" t="s">
        <v>31</v>
      </c>
      <c r="K9" s="14"/>
      <c r="L9" s="14"/>
      <c r="M9" s="15"/>
      <c r="N9" s="32" t="s">
        <v>32</v>
      </c>
      <c r="O9" s="13" t="s">
        <v>33</v>
      </c>
      <c r="P9" s="15"/>
      <c r="Q9" s="13" t="s">
        <v>34</v>
      </c>
      <c r="R9" s="15"/>
      <c r="S9" s="13" t="s">
        <v>35</v>
      </c>
      <c r="T9" s="15"/>
      <c r="U9" s="13" t="s">
        <v>36</v>
      </c>
      <c r="V9" s="15"/>
      <c r="W9" s="13" t="s">
        <v>37</v>
      </c>
      <c r="X9" s="15"/>
      <c r="Y9" s="13" t="s">
        <v>26</v>
      </c>
      <c r="Z9" s="14"/>
      <c r="AA9" s="14"/>
      <c r="AB9" s="14"/>
      <c r="AC9" s="14"/>
      <c r="AD9" s="14"/>
      <c r="AE9" s="14"/>
      <c r="AF9" s="14"/>
      <c r="AG9" s="14"/>
      <c r="AH9" s="14"/>
      <c r="AI9" s="53"/>
      <c r="AJ9" s="54"/>
    </row>
    <row r="10" ht="19.5" customHeight="1">
      <c r="A10" s="55">
        <f t="shared" ref="A10:A15" si="1">ROW()-ROW(B$9)</f>
        <v>1</v>
      </c>
      <c r="B10" s="62" t="s">
        <v>53</v>
      </c>
      <c r="C10" s="14"/>
      <c r="D10" s="14"/>
      <c r="E10" s="15"/>
      <c r="F10" s="62" t="s">
        <v>54</v>
      </c>
      <c r="G10" s="14"/>
      <c r="H10" s="14"/>
      <c r="I10" s="15"/>
      <c r="J10" s="65" t="s">
        <v>55</v>
      </c>
      <c r="K10" s="14"/>
      <c r="L10" s="14"/>
      <c r="M10" s="15"/>
      <c r="N10" s="58" t="str">
        <f>VLOOKUP($J10,データ型と桁数指定_postgre,2,FALSE)</f>
        <v>〇</v>
      </c>
      <c r="O10" s="66">
        <v>36.0</v>
      </c>
      <c r="P10" s="15"/>
      <c r="Q10" s="66" t="s">
        <v>76</v>
      </c>
      <c r="R10" s="15"/>
      <c r="S10" s="59" t="s">
        <v>41</v>
      </c>
      <c r="T10" s="15"/>
      <c r="U10" s="59" t="s">
        <v>41</v>
      </c>
      <c r="V10" s="15"/>
      <c r="W10" s="57"/>
      <c r="X10" s="15"/>
      <c r="Y10" s="79" t="s">
        <v>77</v>
      </c>
      <c r="Z10" s="14"/>
      <c r="AA10" s="14"/>
      <c r="AB10" s="14"/>
      <c r="AC10" s="14"/>
      <c r="AD10" s="14"/>
      <c r="AE10" s="14"/>
      <c r="AF10" s="14"/>
      <c r="AG10" s="14"/>
      <c r="AH10" s="14"/>
      <c r="AI10" s="15"/>
      <c r="AJ10" s="61"/>
    </row>
    <row r="11" ht="19.5" customHeight="1">
      <c r="A11" s="55">
        <f t="shared" si="1"/>
        <v>2</v>
      </c>
      <c r="B11" s="62" t="s">
        <v>78</v>
      </c>
      <c r="C11" s="14"/>
      <c r="D11" s="14"/>
      <c r="E11" s="15"/>
      <c r="F11" s="62" t="s">
        <v>79</v>
      </c>
      <c r="G11" s="14"/>
      <c r="H11" s="14"/>
      <c r="I11" s="15"/>
      <c r="J11" s="57" t="s">
        <v>45</v>
      </c>
      <c r="K11" s="14"/>
      <c r="L11" s="14"/>
      <c r="M11" s="15"/>
      <c r="N11" s="58" t="str">
        <f>VLOOKUP($J11,データ型と桁数指定_postgre,2,FALSE)</f>
        <v/>
      </c>
      <c r="O11" s="59">
        <v>50.0</v>
      </c>
      <c r="P11" s="15"/>
      <c r="Q11" s="59"/>
      <c r="R11" s="15"/>
      <c r="S11" s="59" t="s">
        <v>46</v>
      </c>
      <c r="T11" s="15"/>
      <c r="U11" s="59" t="s">
        <v>41</v>
      </c>
      <c r="V11" s="15"/>
      <c r="W11" s="57"/>
      <c r="X11" s="15"/>
      <c r="Y11" s="63"/>
      <c r="Z11" s="21"/>
      <c r="AA11" s="21"/>
      <c r="AB11" s="21"/>
      <c r="AC11" s="21"/>
      <c r="AD11" s="21"/>
      <c r="AE11" s="21"/>
      <c r="AF11" s="21"/>
      <c r="AG11" s="21"/>
      <c r="AH11" s="21"/>
      <c r="AI11" s="19"/>
      <c r="AJ11" s="64"/>
    </row>
    <row r="12" ht="19.5" customHeight="1">
      <c r="A12" s="55">
        <f t="shared" si="1"/>
        <v>3</v>
      </c>
      <c r="B12" s="62" t="s">
        <v>80</v>
      </c>
      <c r="C12" s="14"/>
      <c r="D12" s="14"/>
      <c r="E12" s="15"/>
      <c r="F12" s="62" t="s">
        <v>81</v>
      </c>
      <c r="G12" s="14"/>
      <c r="H12" s="14"/>
      <c r="I12" s="15"/>
      <c r="J12" s="57" t="s">
        <v>45</v>
      </c>
      <c r="K12" s="14"/>
      <c r="L12" s="14"/>
      <c r="M12" s="15"/>
      <c r="N12" s="58" t="str">
        <f>VLOOKUP($J12,データ型と桁数指定_postgre,2,FALSE)</f>
        <v/>
      </c>
      <c r="O12" s="59">
        <v>50.0</v>
      </c>
      <c r="P12" s="15"/>
      <c r="Q12" s="59"/>
      <c r="R12" s="15"/>
      <c r="S12" s="59" t="s">
        <v>46</v>
      </c>
      <c r="T12" s="15"/>
      <c r="U12" s="59" t="s">
        <v>41</v>
      </c>
      <c r="V12" s="15"/>
      <c r="W12" s="57"/>
      <c r="X12" s="15"/>
      <c r="Y12" s="63"/>
      <c r="Z12" s="21"/>
      <c r="AA12" s="21"/>
      <c r="AB12" s="21"/>
      <c r="AC12" s="21"/>
      <c r="AD12" s="21"/>
      <c r="AE12" s="21"/>
      <c r="AF12" s="21"/>
      <c r="AG12" s="21"/>
      <c r="AH12" s="21"/>
      <c r="AI12" s="19"/>
      <c r="AJ12" s="64"/>
    </row>
    <row r="13" ht="19.5" customHeight="1">
      <c r="A13" s="55">
        <f t="shared" si="1"/>
        <v>4</v>
      </c>
      <c r="B13" s="56" t="s">
        <v>57</v>
      </c>
      <c r="C13" s="14"/>
      <c r="D13" s="14"/>
      <c r="E13" s="15"/>
      <c r="F13" s="56" t="s">
        <v>58</v>
      </c>
      <c r="G13" s="14"/>
      <c r="H13" s="14"/>
      <c r="I13" s="15"/>
      <c r="J13" s="57" t="s">
        <v>59</v>
      </c>
      <c r="K13" s="14"/>
      <c r="L13" s="14"/>
      <c r="M13" s="15"/>
      <c r="N13" s="58" t="str">
        <f>VLOOKUP($J13,データ型と桁数指定_postgre,2,FALSE)</f>
        <v/>
      </c>
      <c r="O13" s="59"/>
      <c r="P13" s="15"/>
      <c r="Q13" s="68" t="s">
        <v>60</v>
      </c>
      <c r="R13" s="15"/>
      <c r="S13" s="59" t="s">
        <v>46</v>
      </c>
      <c r="T13" s="15"/>
      <c r="U13" s="59" t="s">
        <v>41</v>
      </c>
      <c r="V13" s="15"/>
      <c r="W13" s="65"/>
      <c r="X13" s="15"/>
      <c r="Y13" s="63"/>
      <c r="Z13" s="21"/>
      <c r="AA13" s="21"/>
      <c r="AB13" s="21"/>
      <c r="AC13" s="21"/>
      <c r="AD13" s="21"/>
      <c r="AE13" s="21"/>
      <c r="AF13" s="21"/>
      <c r="AG13" s="21"/>
      <c r="AH13" s="21"/>
      <c r="AI13" s="19"/>
      <c r="AJ13" s="64"/>
    </row>
    <row r="14" ht="19.5" customHeight="1">
      <c r="A14" s="55">
        <f t="shared" si="1"/>
        <v>5</v>
      </c>
      <c r="B14" s="56" t="s">
        <v>61</v>
      </c>
      <c r="C14" s="14"/>
      <c r="D14" s="14"/>
      <c r="E14" s="15"/>
      <c r="F14" s="56" t="s">
        <v>62</v>
      </c>
      <c r="G14" s="14"/>
      <c r="H14" s="14"/>
      <c r="I14" s="15"/>
      <c r="J14" s="57" t="s">
        <v>59</v>
      </c>
      <c r="K14" s="14"/>
      <c r="L14" s="14"/>
      <c r="M14" s="15"/>
      <c r="N14" s="58" t="str">
        <f>VLOOKUP($J14,データ型と桁数指定_postgre,2,FALSE)</f>
        <v/>
      </c>
      <c r="O14" s="59"/>
      <c r="P14" s="15"/>
      <c r="Q14" s="69" t="s">
        <v>60</v>
      </c>
      <c r="R14" s="46"/>
      <c r="S14" s="59" t="s">
        <v>46</v>
      </c>
      <c r="T14" s="15"/>
      <c r="U14" s="59" t="s">
        <v>41</v>
      </c>
      <c r="V14" s="15"/>
      <c r="W14" s="65"/>
      <c r="X14" s="15"/>
      <c r="Y14" s="70"/>
      <c r="Z14" s="14"/>
      <c r="AA14" s="14"/>
      <c r="AB14" s="14"/>
      <c r="AC14" s="14"/>
      <c r="AD14" s="14"/>
      <c r="AE14" s="14"/>
      <c r="AF14" s="14"/>
      <c r="AG14" s="14"/>
      <c r="AH14" s="14"/>
      <c r="AI14" s="15"/>
      <c r="AJ14" s="64"/>
    </row>
    <row r="15" ht="19.5" customHeight="1">
      <c r="A15" s="55">
        <f t="shared" si="1"/>
        <v>6</v>
      </c>
      <c r="B15" s="56" t="s">
        <v>63</v>
      </c>
      <c r="C15" s="14"/>
      <c r="D15" s="14"/>
      <c r="E15" s="15"/>
      <c r="F15" s="62" t="s">
        <v>64</v>
      </c>
      <c r="G15" s="14"/>
      <c r="H15" s="14"/>
      <c r="I15" s="15"/>
      <c r="J15" s="57" t="s">
        <v>65</v>
      </c>
      <c r="K15" s="14"/>
      <c r="L15" s="14"/>
      <c r="M15" s="15"/>
      <c r="N15" s="58" t="str">
        <f>VLOOKUP($J15,データ型と桁数指定_postgre,2,FALSE)</f>
        <v/>
      </c>
      <c r="O15" s="59"/>
      <c r="P15" s="15"/>
      <c r="Q15" s="71" t="s">
        <v>66</v>
      </c>
      <c r="R15" s="15"/>
      <c r="S15" s="59" t="s">
        <v>46</v>
      </c>
      <c r="T15" s="15"/>
      <c r="U15" s="59" t="s">
        <v>41</v>
      </c>
      <c r="V15" s="15"/>
      <c r="W15" s="57"/>
      <c r="X15" s="15"/>
      <c r="Y15" s="70"/>
      <c r="Z15" s="14"/>
      <c r="AA15" s="14"/>
      <c r="AB15" s="14"/>
      <c r="AC15" s="14"/>
      <c r="AD15" s="14"/>
      <c r="AE15" s="14"/>
      <c r="AF15" s="14"/>
      <c r="AG15" s="14"/>
      <c r="AH15" s="14"/>
      <c r="AI15" s="15"/>
      <c r="AJ15" s="64"/>
    </row>
    <row r="16" ht="19.5" customHeight="1">
      <c r="A16" s="72"/>
      <c r="B16" s="73"/>
      <c r="C16" s="73"/>
      <c r="D16" s="73"/>
      <c r="E16" s="73"/>
      <c r="F16" s="73"/>
      <c r="G16" s="73"/>
      <c r="H16" s="73"/>
      <c r="I16" s="73"/>
      <c r="J16" s="73"/>
      <c r="K16" s="73"/>
      <c r="L16" s="33"/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4"/>
      <c r="X16" s="74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6"/>
    </row>
    <row r="17" ht="19.5" customHeight="1">
      <c r="A17" s="72"/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4"/>
      <c r="X17" s="74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6"/>
    </row>
    <row r="18" ht="19.5" customHeight="1">
      <c r="A18" s="72"/>
      <c r="B18" s="73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4"/>
      <c r="X18" s="74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6"/>
    </row>
    <row r="19" ht="19.5" customHeight="1">
      <c r="A19" s="72"/>
      <c r="B19" s="73"/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4"/>
      <c r="X19" s="74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6"/>
    </row>
    <row r="20" ht="19.5" customHeight="1">
      <c r="A20" s="72"/>
      <c r="B20" s="73"/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4"/>
      <c r="X20" s="74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6"/>
    </row>
    <row r="21" ht="19.5" customHeight="1">
      <c r="A21" s="72"/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4"/>
      <c r="X21" s="74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12"/>
    </row>
    <row r="22" ht="19.5" customHeight="1">
      <c r="A22" s="72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4"/>
      <c r="X22" s="74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12"/>
    </row>
    <row r="23" ht="19.5" customHeight="1">
      <c r="A23" s="72"/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4"/>
      <c r="X23" s="74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12"/>
    </row>
    <row r="24" ht="19.5" customHeight="1">
      <c r="A24" s="72"/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4"/>
      <c r="X24" s="74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12"/>
    </row>
    <row r="25" ht="19.5" customHeight="1">
      <c r="A25" s="72"/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4"/>
      <c r="X25" s="74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12"/>
    </row>
    <row r="26" ht="19.5" customHeight="1">
      <c r="A26" s="72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4"/>
      <c r="X26" s="74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12"/>
    </row>
    <row r="27" ht="19.5" customHeight="1">
      <c r="A27" s="72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4"/>
      <c r="X27" s="74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12"/>
    </row>
    <row r="28" ht="19.5" customHeight="1">
      <c r="A28" s="72"/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4"/>
      <c r="X28" s="74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12"/>
    </row>
    <row r="29" ht="19.5" customHeight="1">
      <c r="A29" s="72"/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4"/>
      <c r="X29" s="74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12"/>
    </row>
    <row r="30" ht="19.5" customHeight="1">
      <c r="A30" s="72"/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4"/>
      <c r="X30" s="74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12"/>
    </row>
    <row r="31" ht="19.5" customHeight="1">
      <c r="A31" s="72"/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4"/>
      <c r="X31" s="74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12"/>
    </row>
    <row r="32" ht="19.5" customHeight="1">
      <c r="A32" s="72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4"/>
      <c r="X32" s="74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12"/>
    </row>
    <row r="33" ht="19.5" customHeight="1">
      <c r="A33" s="72"/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4"/>
      <c r="X33" s="74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12"/>
    </row>
    <row r="34" ht="19.5" customHeight="1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4"/>
      <c r="X34" s="74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12"/>
    </row>
    <row r="35" ht="19.5" customHeight="1">
      <c r="A35" s="72"/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4"/>
      <c r="X35" s="74"/>
      <c r="Y35" s="75"/>
      <c r="Z35" s="75"/>
      <c r="AA35" s="75"/>
      <c r="AB35" s="75"/>
      <c r="AC35" s="75"/>
      <c r="AD35" s="75"/>
      <c r="AE35" s="75"/>
      <c r="AF35" s="75"/>
      <c r="AG35" s="75"/>
      <c r="AH35" s="75"/>
      <c r="AI35" s="75"/>
      <c r="AJ35" s="12"/>
    </row>
    <row r="36" ht="19.5" customHeight="1">
      <c r="A36" s="72"/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4"/>
      <c r="X36" s="74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12"/>
    </row>
    <row r="37" ht="19.5" customHeight="1">
      <c r="A37" s="72"/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73"/>
      <c r="S37" s="73"/>
      <c r="T37" s="73"/>
      <c r="U37" s="73"/>
      <c r="V37" s="73"/>
      <c r="W37" s="74"/>
      <c r="X37" s="74"/>
      <c r="Y37" s="75"/>
      <c r="Z37" s="75"/>
      <c r="AA37" s="75"/>
      <c r="AB37" s="75"/>
      <c r="AC37" s="75"/>
      <c r="AD37" s="75"/>
      <c r="AE37" s="75"/>
      <c r="AF37" s="75"/>
      <c r="AG37" s="75"/>
      <c r="AH37" s="75"/>
      <c r="AI37" s="75"/>
      <c r="AJ37" s="12"/>
    </row>
    <row r="38" ht="19.5" customHeight="1">
      <c r="A38" s="72"/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73"/>
      <c r="T38" s="73"/>
      <c r="U38" s="73"/>
      <c r="V38" s="73"/>
      <c r="W38" s="74"/>
      <c r="X38" s="74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12"/>
    </row>
    <row r="39" ht="19.5" customHeight="1">
      <c r="A39" s="72"/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4"/>
      <c r="X39" s="74"/>
      <c r="Y39" s="75"/>
      <c r="Z39" s="75"/>
      <c r="AA39" s="75"/>
      <c r="AB39" s="75"/>
      <c r="AC39" s="75"/>
      <c r="AD39" s="75"/>
      <c r="AE39" s="75"/>
      <c r="AF39" s="75"/>
      <c r="AG39" s="75"/>
      <c r="AH39" s="75"/>
      <c r="AI39" s="75"/>
      <c r="AJ39" s="12"/>
    </row>
    <row r="40" ht="19.5" customHeight="1">
      <c r="A40" s="72"/>
      <c r="B40" s="73"/>
      <c r="C40" s="73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4"/>
      <c r="X40" s="74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12"/>
    </row>
    <row r="41" ht="19.5" customHeight="1">
      <c r="A41" s="72"/>
      <c r="B41" s="73"/>
      <c r="C41" s="73"/>
      <c r="D41" s="7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4"/>
      <c r="X41" s="74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12"/>
    </row>
    <row r="42" ht="19.5" customHeight="1">
      <c r="A42" s="72"/>
      <c r="B42" s="73"/>
      <c r="C42" s="73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4"/>
      <c r="X42" s="74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12"/>
    </row>
    <row r="43" ht="19.5" customHeight="1">
      <c r="A43" s="72"/>
      <c r="B43" s="73"/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4"/>
      <c r="X43" s="74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12"/>
    </row>
    <row r="44" ht="19.5" customHeight="1">
      <c r="A44" s="72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4"/>
      <c r="X44" s="74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12"/>
    </row>
    <row r="45" ht="19.5" customHeight="1">
      <c r="A45" s="72"/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4"/>
      <c r="X45" s="74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12"/>
    </row>
    <row r="46" ht="19.5" customHeight="1">
      <c r="A46" s="72"/>
      <c r="B46" s="73"/>
      <c r="C46" s="73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4"/>
      <c r="X46" s="74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12"/>
    </row>
    <row r="47" ht="19.5" customHeight="1">
      <c r="A47" s="72"/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4"/>
      <c r="X47" s="74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12"/>
    </row>
    <row r="48" ht="19.5" customHeight="1">
      <c r="A48" s="72"/>
      <c r="B48" s="73"/>
      <c r="C48" s="73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4"/>
      <c r="X48" s="74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12"/>
    </row>
    <row r="49" ht="19.5" customHeight="1">
      <c r="A49" s="72"/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4"/>
      <c r="X49" s="74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12"/>
    </row>
    <row r="50" ht="19.5" customHeight="1">
      <c r="A50" s="72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4"/>
      <c r="X50" s="74"/>
      <c r="Y50" s="75"/>
      <c r="Z50" s="75"/>
      <c r="AA50" s="75"/>
      <c r="AB50" s="75"/>
      <c r="AC50" s="75"/>
      <c r="AD50" s="75"/>
      <c r="AE50" s="75"/>
      <c r="AF50" s="75"/>
      <c r="AG50" s="75"/>
      <c r="AH50" s="75"/>
      <c r="AI50" s="75"/>
      <c r="AJ50" s="12"/>
    </row>
    <row r="51" ht="19.5" customHeight="1">
      <c r="A51" s="72"/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4"/>
      <c r="X51" s="74"/>
      <c r="Y51" s="75"/>
      <c r="Z51" s="75"/>
      <c r="AA51" s="75"/>
      <c r="AB51" s="75"/>
      <c r="AC51" s="75"/>
      <c r="AD51" s="75"/>
      <c r="AE51" s="75"/>
      <c r="AF51" s="75"/>
      <c r="AG51" s="75"/>
      <c r="AH51" s="75"/>
      <c r="AI51" s="75"/>
      <c r="AJ51" s="12"/>
    </row>
    <row r="52" ht="19.5" customHeight="1">
      <c r="A52" s="72"/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4"/>
      <c r="X52" s="74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12"/>
    </row>
    <row r="53" ht="19.5" customHeight="1">
      <c r="A53" s="72"/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4"/>
      <c r="X53" s="74"/>
      <c r="Y53" s="75"/>
      <c r="Z53" s="75"/>
      <c r="AA53" s="75"/>
      <c r="AB53" s="75"/>
      <c r="AC53" s="75"/>
      <c r="AD53" s="75"/>
      <c r="AE53" s="75"/>
      <c r="AF53" s="75"/>
      <c r="AG53" s="75"/>
      <c r="AH53" s="75"/>
      <c r="AI53" s="75"/>
      <c r="AJ53" s="12"/>
    </row>
    <row r="54" ht="19.5" customHeight="1">
      <c r="A54" s="72"/>
      <c r="B54" s="73"/>
      <c r="C54" s="73"/>
      <c r="D54" s="73"/>
      <c r="E54" s="73"/>
      <c r="F54" s="73"/>
      <c r="G54" s="73"/>
      <c r="H54" s="73"/>
      <c r="I54" s="73"/>
      <c r="J54" s="73"/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4"/>
      <c r="X54" s="74"/>
      <c r="Y54" s="75"/>
      <c r="Z54" s="75"/>
      <c r="AA54" s="75"/>
      <c r="AB54" s="75"/>
      <c r="AC54" s="75"/>
      <c r="AD54" s="75"/>
      <c r="AE54" s="75"/>
      <c r="AF54" s="75"/>
      <c r="AG54" s="75"/>
      <c r="AH54" s="75"/>
      <c r="AI54" s="75"/>
      <c r="AJ54" s="12"/>
    </row>
    <row r="55" ht="19.5" customHeight="1">
      <c r="A55" s="72"/>
      <c r="B55" s="73"/>
      <c r="C55" s="73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4"/>
      <c r="X55" s="74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12"/>
    </row>
    <row r="56" ht="19.5" customHeight="1">
      <c r="A56" s="72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4"/>
      <c r="X56" s="74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12"/>
    </row>
    <row r="57" ht="19.5" customHeight="1">
      <c r="A57" s="72"/>
      <c r="B57" s="73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4"/>
      <c r="X57" s="74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12"/>
    </row>
    <row r="58" ht="19.5" customHeight="1">
      <c r="A58" s="72"/>
      <c r="B58" s="73"/>
      <c r="C58" s="73"/>
      <c r="D58" s="73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4"/>
      <c r="X58" s="74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12"/>
    </row>
    <row r="59" ht="19.5" customHeight="1">
      <c r="A59" s="72"/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4"/>
      <c r="X59" s="74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12"/>
    </row>
    <row r="60" ht="19.5" customHeight="1">
      <c r="A60" s="72"/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4"/>
      <c r="X60" s="74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12"/>
    </row>
    <row r="61" ht="19.5" customHeight="1">
      <c r="A61" s="72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4"/>
      <c r="X61" s="74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12"/>
    </row>
    <row r="62" ht="19.5" customHeight="1">
      <c r="A62" s="72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4"/>
      <c r="X62" s="74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12"/>
    </row>
    <row r="63" ht="19.5" customHeight="1">
      <c r="A63" s="72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4"/>
      <c r="X63" s="74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12"/>
    </row>
    <row r="64" ht="19.5" customHeight="1">
      <c r="A64" s="72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4"/>
      <c r="X64" s="74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12"/>
    </row>
    <row r="65" ht="19.5" customHeight="1">
      <c r="A65" s="72"/>
      <c r="B65" s="73"/>
      <c r="C65" s="73"/>
      <c r="D65" s="73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4"/>
      <c r="X65" s="74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12"/>
    </row>
    <row r="66" ht="19.5" customHeight="1">
      <c r="A66" s="72"/>
      <c r="B66" s="73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4"/>
      <c r="X66" s="74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12"/>
    </row>
    <row r="67" ht="19.5" customHeight="1">
      <c r="A67" s="72"/>
      <c r="B67" s="73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4"/>
      <c r="X67" s="74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12"/>
    </row>
    <row r="68" ht="19.5" customHeight="1">
      <c r="A68" s="72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4"/>
      <c r="X68" s="74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12"/>
    </row>
    <row r="69" ht="19.5" customHeight="1">
      <c r="A69" s="72"/>
      <c r="B69" s="73"/>
      <c r="C69" s="73"/>
      <c r="D69" s="73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4"/>
      <c r="X69" s="74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12"/>
    </row>
    <row r="70" ht="19.5" customHeight="1">
      <c r="A70" s="72"/>
      <c r="B70" s="73"/>
      <c r="C70" s="73"/>
      <c r="D70" s="73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4"/>
      <c r="X70" s="74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12"/>
    </row>
    <row r="71" ht="19.5" customHeight="1">
      <c r="A71" s="72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4"/>
      <c r="X71" s="74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12"/>
    </row>
    <row r="72" ht="19.5" customHeight="1">
      <c r="A72" s="72"/>
      <c r="B72" s="73"/>
      <c r="C72" s="73"/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4"/>
      <c r="X72" s="74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12"/>
    </row>
    <row r="73" ht="19.5" customHeight="1">
      <c r="A73" s="72"/>
      <c r="B73" s="73"/>
      <c r="C73" s="73"/>
      <c r="D73" s="73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4"/>
      <c r="X73" s="74"/>
      <c r="Y73" s="75"/>
      <c r="Z73" s="75"/>
      <c r="AA73" s="75"/>
      <c r="AB73" s="75"/>
      <c r="AC73" s="75"/>
      <c r="AD73" s="75"/>
      <c r="AE73" s="75"/>
      <c r="AF73" s="75"/>
      <c r="AG73" s="75"/>
      <c r="AH73" s="75"/>
      <c r="AI73" s="75"/>
      <c r="AJ73" s="12"/>
    </row>
    <row r="74" ht="19.5" customHeight="1">
      <c r="A74" s="72"/>
      <c r="B74" s="73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4"/>
      <c r="X74" s="74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12"/>
    </row>
    <row r="75" ht="19.5" customHeight="1">
      <c r="A75" s="72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4"/>
      <c r="X75" s="74"/>
      <c r="Y75" s="75"/>
      <c r="Z75" s="75"/>
      <c r="AA75" s="75"/>
      <c r="AB75" s="75"/>
      <c r="AC75" s="75"/>
      <c r="AD75" s="75"/>
      <c r="AE75" s="75"/>
      <c r="AF75" s="75"/>
      <c r="AG75" s="75"/>
      <c r="AH75" s="75"/>
      <c r="AI75" s="75"/>
      <c r="AJ75" s="12"/>
    </row>
    <row r="76" ht="19.5" customHeight="1">
      <c r="A76" s="72"/>
      <c r="B76" s="73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4"/>
      <c r="X76" s="74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12"/>
    </row>
    <row r="77" ht="19.5" customHeight="1">
      <c r="A77" s="72"/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4"/>
      <c r="X77" s="74"/>
      <c r="Y77" s="75"/>
      <c r="Z77" s="75"/>
      <c r="AA77" s="75"/>
      <c r="AB77" s="75"/>
      <c r="AC77" s="75"/>
      <c r="AD77" s="75"/>
      <c r="AE77" s="75"/>
      <c r="AF77" s="75"/>
      <c r="AG77" s="75"/>
      <c r="AH77" s="75"/>
      <c r="AI77" s="75"/>
      <c r="AJ77" s="12"/>
    </row>
    <row r="78" ht="19.5" customHeight="1">
      <c r="A78" s="72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4"/>
      <c r="X78" s="74"/>
      <c r="Y78" s="75"/>
      <c r="Z78" s="75"/>
      <c r="AA78" s="75"/>
      <c r="AB78" s="75"/>
      <c r="AC78" s="75"/>
      <c r="AD78" s="75"/>
      <c r="AE78" s="75"/>
      <c r="AF78" s="75"/>
      <c r="AG78" s="75"/>
      <c r="AH78" s="75"/>
      <c r="AI78" s="75"/>
      <c r="AJ78" s="12"/>
    </row>
    <row r="79" ht="19.5" customHeight="1">
      <c r="A79" s="72"/>
      <c r="B79" s="73"/>
      <c r="C79" s="73"/>
      <c r="D79" s="73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73"/>
      <c r="Q79" s="73"/>
      <c r="R79" s="73"/>
      <c r="S79" s="73"/>
      <c r="T79" s="73"/>
      <c r="U79" s="73"/>
      <c r="V79" s="73"/>
      <c r="W79" s="74"/>
      <c r="X79" s="74"/>
      <c r="Y79" s="75"/>
      <c r="Z79" s="75"/>
      <c r="AA79" s="75"/>
      <c r="AB79" s="75"/>
      <c r="AC79" s="75"/>
      <c r="AD79" s="75"/>
      <c r="AE79" s="75"/>
      <c r="AF79" s="75"/>
      <c r="AG79" s="75"/>
      <c r="AH79" s="75"/>
      <c r="AI79" s="75"/>
      <c r="AJ79" s="12"/>
    </row>
    <row r="80" ht="19.5" customHeight="1">
      <c r="A80" s="72"/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73"/>
      <c r="Q80" s="73"/>
      <c r="R80" s="73"/>
      <c r="S80" s="73"/>
      <c r="T80" s="73"/>
      <c r="U80" s="73"/>
      <c r="V80" s="73"/>
      <c r="W80" s="74"/>
      <c r="X80" s="74"/>
      <c r="Y80" s="75"/>
      <c r="Z80" s="75"/>
      <c r="AA80" s="75"/>
      <c r="AB80" s="75"/>
      <c r="AC80" s="75"/>
      <c r="AD80" s="75"/>
      <c r="AE80" s="75"/>
      <c r="AF80" s="75"/>
      <c r="AG80" s="75"/>
      <c r="AH80" s="75"/>
      <c r="AI80" s="75"/>
      <c r="AJ80" s="12"/>
    </row>
    <row r="81" ht="19.5" customHeight="1">
      <c r="A81" s="72"/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73"/>
      <c r="Q81" s="73"/>
      <c r="R81" s="73"/>
      <c r="S81" s="73"/>
      <c r="T81" s="73"/>
      <c r="U81" s="73"/>
      <c r="V81" s="73"/>
      <c r="W81" s="74"/>
      <c r="X81" s="74"/>
      <c r="Y81" s="75"/>
      <c r="Z81" s="75"/>
      <c r="AA81" s="75"/>
      <c r="AB81" s="75"/>
      <c r="AC81" s="75"/>
      <c r="AD81" s="75"/>
      <c r="AE81" s="75"/>
      <c r="AF81" s="75"/>
      <c r="AG81" s="75"/>
      <c r="AH81" s="75"/>
      <c r="AI81" s="75"/>
      <c r="AJ81" s="12"/>
    </row>
    <row r="82" ht="19.5" customHeight="1">
      <c r="A82" s="72"/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4"/>
      <c r="X82" s="74"/>
      <c r="Y82" s="75"/>
      <c r="Z82" s="75"/>
      <c r="AA82" s="75"/>
      <c r="AB82" s="75"/>
      <c r="AC82" s="75"/>
      <c r="AD82" s="75"/>
      <c r="AE82" s="75"/>
      <c r="AF82" s="75"/>
      <c r="AG82" s="75"/>
      <c r="AH82" s="75"/>
      <c r="AI82" s="75"/>
      <c r="AJ82" s="12"/>
    </row>
    <row r="83" ht="19.5" customHeight="1">
      <c r="A83" s="72"/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3"/>
      <c r="U83" s="73"/>
      <c r="V83" s="73"/>
      <c r="W83" s="74"/>
      <c r="X83" s="74"/>
      <c r="Y83" s="75"/>
      <c r="Z83" s="75"/>
      <c r="AA83" s="75"/>
      <c r="AB83" s="75"/>
      <c r="AC83" s="75"/>
      <c r="AD83" s="75"/>
      <c r="AE83" s="75"/>
      <c r="AF83" s="75"/>
      <c r="AG83" s="75"/>
      <c r="AH83" s="75"/>
      <c r="AI83" s="75"/>
      <c r="AJ83" s="12"/>
    </row>
    <row r="84" ht="19.5" customHeight="1">
      <c r="A84" s="72"/>
      <c r="B84" s="73"/>
      <c r="C84" s="73"/>
      <c r="D84" s="73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4"/>
      <c r="X84" s="74"/>
      <c r="Y84" s="75"/>
      <c r="Z84" s="75"/>
      <c r="AA84" s="75"/>
      <c r="AB84" s="75"/>
      <c r="AC84" s="75"/>
      <c r="AD84" s="75"/>
      <c r="AE84" s="75"/>
      <c r="AF84" s="75"/>
      <c r="AG84" s="75"/>
      <c r="AH84" s="75"/>
      <c r="AI84" s="75"/>
      <c r="AJ84" s="12"/>
    </row>
    <row r="85" ht="19.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3"/>
      <c r="U85" s="73"/>
      <c r="V85" s="73"/>
      <c r="W85" s="74"/>
      <c r="X85" s="74"/>
      <c r="Y85" s="75"/>
      <c r="Z85" s="75"/>
      <c r="AA85" s="75"/>
      <c r="AB85" s="75"/>
      <c r="AC85" s="75"/>
      <c r="AD85" s="75"/>
      <c r="AE85" s="75"/>
      <c r="AF85" s="75"/>
      <c r="AG85" s="75"/>
      <c r="AH85" s="75"/>
      <c r="AI85" s="75"/>
      <c r="AJ85" s="12"/>
    </row>
    <row r="86" ht="19.5" customHeight="1">
      <c r="A86" s="72"/>
      <c r="B86" s="73"/>
      <c r="C86" s="73"/>
      <c r="D86" s="73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73"/>
      <c r="Q86" s="73"/>
      <c r="R86" s="73"/>
      <c r="S86" s="73"/>
      <c r="T86" s="73"/>
      <c r="U86" s="73"/>
      <c r="V86" s="73"/>
      <c r="W86" s="74"/>
      <c r="X86" s="74"/>
      <c r="Y86" s="75"/>
      <c r="Z86" s="75"/>
      <c r="AA86" s="75"/>
      <c r="AB86" s="75"/>
      <c r="AC86" s="75"/>
      <c r="AD86" s="75"/>
      <c r="AE86" s="75"/>
      <c r="AF86" s="75"/>
      <c r="AG86" s="75"/>
      <c r="AH86" s="75"/>
      <c r="AI86" s="75"/>
      <c r="AJ86" s="12"/>
    </row>
    <row r="87" ht="19.5" customHeight="1">
      <c r="A87" s="72"/>
      <c r="B87" s="73"/>
      <c r="C87" s="73"/>
      <c r="D87" s="73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3"/>
      <c r="U87" s="73"/>
      <c r="V87" s="73"/>
      <c r="W87" s="74"/>
      <c r="X87" s="74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12"/>
    </row>
    <row r="88" ht="19.5" customHeight="1">
      <c r="A88" s="72"/>
      <c r="B88" s="73"/>
      <c r="C88" s="73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3"/>
      <c r="U88" s="73"/>
      <c r="V88" s="73"/>
      <c r="W88" s="74"/>
      <c r="X88" s="74"/>
      <c r="Y88" s="75"/>
      <c r="Z88" s="75"/>
      <c r="AA88" s="75"/>
      <c r="AB88" s="75"/>
      <c r="AC88" s="75"/>
      <c r="AD88" s="75"/>
      <c r="AE88" s="75"/>
      <c r="AF88" s="75"/>
      <c r="AG88" s="75"/>
      <c r="AH88" s="75"/>
      <c r="AI88" s="75"/>
      <c r="AJ88" s="12"/>
    </row>
    <row r="89" ht="19.5" customHeight="1">
      <c r="A89" s="72"/>
      <c r="B89" s="73"/>
      <c r="C89" s="73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3"/>
      <c r="U89" s="73"/>
      <c r="V89" s="73"/>
      <c r="W89" s="74"/>
      <c r="X89" s="74"/>
      <c r="Y89" s="75"/>
      <c r="Z89" s="75"/>
      <c r="AA89" s="75"/>
      <c r="AB89" s="75"/>
      <c r="AC89" s="75"/>
      <c r="AD89" s="75"/>
      <c r="AE89" s="75"/>
      <c r="AF89" s="75"/>
      <c r="AG89" s="75"/>
      <c r="AH89" s="75"/>
      <c r="AI89" s="75"/>
      <c r="AJ89" s="12"/>
    </row>
    <row r="90" ht="19.5" customHeight="1">
      <c r="A90" s="72"/>
      <c r="B90" s="73"/>
      <c r="C90" s="73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3"/>
      <c r="U90" s="73"/>
      <c r="V90" s="73"/>
      <c r="W90" s="74"/>
      <c r="X90" s="74"/>
      <c r="Y90" s="75"/>
      <c r="Z90" s="75"/>
      <c r="AA90" s="75"/>
      <c r="AB90" s="75"/>
      <c r="AC90" s="75"/>
      <c r="AD90" s="75"/>
      <c r="AE90" s="75"/>
      <c r="AF90" s="75"/>
      <c r="AG90" s="75"/>
      <c r="AH90" s="75"/>
      <c r="AI90" s="75"/>
      <c r="AJ90" s="12"/>
    </row>
    <row r="91" ht="19.5" customHeight="1">
      <c r="A91" s="72"/>
      <c r="B91" s="73"/>
      <c r="C91" s="73"/>
      <c r="D91" s="73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73"/>
      <c r="Q91" s="73"/>
      <c r="R91" s="73"/>
      <c r="S91" s="73"/>
      <c r="T91" s="73"/>
      <c r="U91" s="73"/>
      <c r="V91" s="73"/>
      <c r="W91" s="74"/>
      <c r="X91" s="74"/>
      <c r="Y91" s="75"/>
      <c r="Z91" s="75"/>
      <c r="AA91" s="75"/>
      <c r="AB91" s="75"/>
      <c r="AC91" s="75"/>
      <c r="AD91" s="75"/>
      <c r="AE91" s="75"/>
      <c r="AF91" s="75"/>
      <c r="AG91" s="75"/>
      <c r="AH91" s="75"/>
      <c r="AI91" s="75"/>
      <c r="AJ91" s="12"/>
    </row>
    <row r="92" ht="19.5" customHeight="1">
      <c r="A92" s="72"/>
      <c r="B92" s="73"/>
      <c r="C92" s="73"/>
      <c r="D92" s="73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73"/>
      <c r="Q92" s="73"/>
      <c r="R92" s="73"/>
      <c r="S92" s="73"/>
      <c r="T92" s="73"/>
      <c r="U92" s="73"/>
      <c r="V92" s="73"/>
      <c r="W92" s="74"/>
      <c r="X92" s="74"/>
      <c r="Y92" s="75"/>
      <c r="Z92" s="75"/>
      <c r="AA92" s="75"/>
      <c r="AB92" s="75"/>
      <c r="AC92" s="75"/>
      <c r="AD92" s="75"/>
      <c r="AE92" s="75"/>
      <c r="AF92" s="75"/>
      <c r="AG92" s="75"/>
      <c r="AH92" s="75"/>
      <c r="AI92" s="75"/>
      <c r="AJ92" s="12"/>
    </row>
    <row r="93" ht="19.5" customHeight="1">
      <c r="A93" s="72"/>
      <c r="B93" s="73"/>
      <c r="C93" s="73"/>
      <c r="D93" s="73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73"/>
      <c r="Q93" s="73"/>
      <c r="R93" s="73"/>
      <c r="S93" s="73"/>
      <c r="T93" s="73"/>
      <c r="U93" s="73"/>
      <c r="V93" s="73"/>
      <c r="W93" s="74"/>
      <c r="X93" s="74"/>
      <c r="Y93" s="75"/>
      <c r="Z93" s="75"/>
      <c r="AA93" s="75"/>
      <c r="AB93" s="75"/>
      <c r="AC93" s="75"/>
      <c r="AD93" s="75"/>
      <c r="AE93" s="75"/>
      <c r="AF93" s="75"/>
      <c r="AG93" s="75"/>
      <c r="AH93" s="75"/>
      <c r="AI93" s="75"/>
      <c r="AJ93" s="12"/>
    </row>
    <row r="94" ht="19.5" customHeight="1">
      <c r="A94" s="72"/>
      <c r="B94" s="73"/>
      <c r="C94" s="73"/>
      <c r="D94" s="73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73"/>
      <c r="Q94" s="73"/>
      <c r="R94" s="73"/>
      <c r="S94" s="73"/>
      <c r="T94" s="73"/>
      <c r="U94" s="73"/>
      <c r="V94" s="73"/>
      <c r="W94" s="74"/>
      <c r="X94" s="74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12"/>
    </row>
    <row r="95" ht="19.5" customHeight="1">
      <c r="A95" s="72"/>
      <c r="B95" s="73"/>
      <c r="C95" s="73"/>
      <c r="D95" s="73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73"/>
      <c r="Q95" s="73"/>
      <c r="R95" s="73"/>
      <c r="S95" s="73"/>
      <c r="T95" s="73"/>
      <c r="U95" s="73"/>
      <c r="V95" s="73"/>
      <c r="W95" s="74"/>
      <c r="X95" s="74"/>
      <c r="Y95" s="75"/>
      <c r="Z95" s="75"/>
      <c r="AA95" s="75"/>
      <c r="AB95" s="75"/>
      <c r="AC95" s="75"/>
      <c r="AD95" s="75"/>
      <c r="AE95" s="75"/>
      <c r="AF95" s="75"/>
      <c r="AG95" s="75"/>
      <c r="AH95" s="75"/>
      <c r="AI95" s="75"/>
      <c r="AJ95" s="12"/>
    </row>
    <row r="96" ht="19.5" customHeight="1">
      <c r="A96" s="72"/>
      <c r="B96" s="73"/>
      <c r="C96" s="73"/>
      <c r="D96" s="73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73"/>
      <c r="Q96" s="73"/>
      <c r="R96" s="73"/>
      <c r="S96" s="73"/>
      <c r="T96" s="73"/>
      <c r="U96" s="73"/>
      <c r="V96" s="73"/>
      <c r="W96" s="74"/>
      <c r="X96" s="74"/>
      <c r="Y96" s="75"/>
      <c r="Z96" s="75"/>
      <c r="AA96" s="75"/>
      <c r="AB96" s="75"/>
      <c r="AC96" s="75"/>
      <c r="AD96" s="75"/>
      <c r="AE96" s="75"/>
      <c r="AF96" s="75"/>
      <c r="AG96" s="75"/>
      <c r="AH96" s="75"/>
      <c r="AI96" s="75"/>
      <c r="AJ96" s="12"/>
    </row>
    <row r="97" ht="19.5" customHeight="1">
      <c r="A97" s="72"/>
      <c r="B97" s="73"/>
      <c r="C97" s="73"/>
      <c r="D97" s="73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73"/>
      <c r="Q97" s="73"/>
      <c r="R97" s="73"/>
      <c r="S97" s="73"/>
      <c r="T97" s="73"/>
      <c r="U97" s="73"/>
      <c r="V97" s="73"/>
      <c r="W97" s="74"/>
      <c r="X97" s="74"/>
      <c r="Y97" s="75"/>
      <c r="Z97" s="75"/>
      <c r="AA97" s="75"/>
      <c r="AB97" s="75"/>
      <c r="AC97" s="75"/>
      <c r="AD97" s="75"/>
      <c r="AE97" s="75"/>
      <c r="AF97" s="75"/>
      <c r="AG97" s="75"/>
      <c r="AH97" s="75"/>
      <c r="AI97" s="75"/>
      <c r="AJ97" s="12"/>
    </row>
    <row r="98" ht="19.5" customHeight="1">
      <c r="A98" s="72"/>
      <c r="B98" s="73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73"/>
      <c r="Q98" s="73"/>
      <c r="R98" s="73"/>
      <c r="S98" s="73"/>
      <c r="T98" s="73"/>
      <c r="U98" s="73"/>
      <c r="V98" s="73"/>
      <c r="W98" s="74"/>
      <c r="X98" s="74"/>
      <c r="Y98" s="75"/>
      <c r="Z98" s="75"/>
      <c r="AA98" s="75"/>
      <c r="AB98" s="75"/>
      <c r="AC98" s="75"/>
      <c r="AD98" s="75"/>
      <c r="AE98" s="75"/>
      <c r="AF98" s="75"/>
      <c r="AG98" s="75"/>
      <c r="AH98" s="75"/>
      <c r="AI98" s="75"/>
      <c r="AJ98" s="12"/>
    </row>
    <row r="99" ht="19.5" customHeight="1">
      <c r="A99" s="72"/>
      <c r="B99" s="73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73"/>
      <c r="Q99" s="73"/>
      <c r="R99" s="73"/>
      <c r="S99" s="73"/>
      <c r="T99" s="73"/>
      <c r="U99" s="73"/>
      <c r="V99" s="73"/>
      <c r="W99" s="74"/>
      <c r="X99" s="74"/>
      <c r="Y99" s="75"/>
      <c r="Z99" s="75"/>
      <c r="AA99" s="75"/>
      <c r="AB99" s="75"/>
      <c r="AC99" s="75"/>
      <c r="AD99" s="75"/>
      <c r="AE99" s="75"/>
      <c r="AF99" s="75"/>
      <c r="AG99" s="75"/>
      <c r="AH99" s="75"/>
      <c r="AI99" s="75"/>
      <c r="AJ99" s="12"/>
    </row>
    <row r="100" ht="19.5" customHeight="1">
      <c r="A100" s="72"/>
      <c r="B100" s="73"/>
      <c r="C100" s="73"/>
      <c r="D100" s="73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73"/>
      <c r="Q100" s="73"/>
      <c r="R100" s="73"/>
      <c r="S100" s="73"/>
      <c r="T100" s="73"/>
      <c r="U100" s="73"/>
      <c r="V100" s="73"/>
      <c r="W100" s="74"/>
      <c r="X100" s="74"/>
      <c r="Y100" s="75"/>
      <c r="Z100" s="75"/>
      <c r="AA100" s="75"/>
      <c r="AB100" s="75"/>
      <c r="AC100" s="75"/>
      <c r="AD100" s="75"/>
      <c r="AE100" s="75"/>
      <c r="AF100" s="75"/>
      <c r="AG100" s="75"/>
      <c r="AH100" s="75"/>
      <c r="AI100" s="75"/>
      <c r="AJ100" s="12"/>
    </row>
    <row r="101" ht="19.5" customHeight="1">
      <c r="A101" s="72"/>
      <c r="B101" s="73"/>
      <c r="C101" s="73"/>
      <c r="D101" s="73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73"/>
      <c r="Q101" s="73"/>
      <c r="R101" s="73"/>
      <c r="S101" s="73"/>
      <c r="T101" s="73"/>
      <c r="U101" s="73"/>
      <c r="V101" s="73"/>
      <c r="W101" s="74"/>
      <c r="X101" s="74"/>
      <c r="Y101" s="75"/>
      <c r="Z101" s="75"/>
      <c r="AA101" s="75"/>
      <c r="AB101" s="75"/>
      <c r="AC101" s="75"/>
      <c r="AD101" s="75"/>
      <c r="AE101" s="75"/>
      <c r="AF101" s="75"/>
      <c r="AG101" s="75"/>
      <c r="AH101" s="75"/>
      <c r="AI101" s="75"/>
      <c r="AJ101" s="12"/>
    </row>
    <row r="102" ht="19.5" customHeight="1">
      <c r="A102" s="72"/>
      <c r="B102" s="73"/>
      <c r="C102" s="73"/>
      <c r="D102" s="73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73"/>
      <c r="Q102" s="73"/>
      <c r="R102" s="73"/>
      <c r="S102" s="73"/>
      <c r="T102" s="73"/>
      <c r="U102" s="73"/>
      <c r="V102" s="73"/>
      <c r="W102" s="74"/>
      <c r="X102" s="74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12"/>
    </row>
    <row r="103" ht="19.5" customHeight="1">
      <c r="A103" s="72"/>
      <c r="B103" s="73"/>
      <c r="C103" s="73"/>
      <c r="D103" s="73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73"/>
      <c r="Q103" s="73"/>
      <c r="R103" s="73"/>
      <c r="S103" s="73"/>
      <c r="T103" s="73"/>
      <c r="U103" s="73"/>
      <c r="V103" s="73"/>
      <c r="W103" s="74"/>
      <c r="X103" s="74"/>
      <c r="Y103" s="75"/>
      <c r="Z103" s="75"/>
      <c r="AA103" s="75"/>
      <c r="AB103" s="75"/>
      <c r="AC103" s="75"/>
      <c r="AD103" s="75"/>
      <c r="AE103" s="75"/>
      <c r="AF103" s="75"/>
      <c r="AG103" s="75"/>
      <c r="AH103" s="75"/>
      <c r="AI103" s="75"/>
      <c r="AJ103" s="12"/>
    </row>
    <row r="104" ht="19.5" customHeight="1">
      <c r="A104" s="72"/>
      <c r="B104" s="73"/>
      <c r="C104" s="73"/>
      <c r="D104" s="73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73"/>
      <c r="Q104" s="73"/>
      <c r="R104" s="73"/>
      <c r="S104" s="73"/>
      <c r="T104" s="73"/>
      <c r="U104" s="73"/>
      <c r="V104" s="73"/>
      <c r="W104" s="74"/>
      <c r="X104" s="74"/>
      <c r="Y104" s="75"/>
      <c r="Z104" s="75"/>
      <c r="AA104" s="75"/>
      <c r="AB104" s="75"/>
      <c r="AC104" s="75"/>
      <c r="AD104" s="75"/>
      <c r="AE104" s="75"/>
      <c r="AF104" s="75"/>
      <c r="AG104" s="75"/>
      <c r="AH104" s="75"/>
      <c r="AI104" s="75"/>
      <c r="AJ104" s="12"/>
    </row>
    <row r="105" ht="19.5" customHeight="1">
      <c r="A105" s="72"/>
      <c r="B105" s="73"/>
      <c r="C105" s="73"/>
      <c r="D105" s="73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73"/>
      <c r="Q105" s="73"/>
      <c r="R105" s="73"/>
      <c r="S105" s="73"/>
      <c r="T105" s="73"/>
      <c r="U105" s="73"/>
      <c r="V105" s="73"/>
      <c r="W105" s="74"/>
      <c r="X105" s="74"/>
      <c r="Y105" s="75"/>
      <c r="Z105" s="75"/>
      <c r="AA105" s="75"/>
      <c r="AB105" s="75"/>
      <c r="AC105" s="75"/>
      <c r="AD105" s="75"/>
      <c r="AE105" s="75"/>
      <c r="AF105" s="75"/>
      <c r="AG105" s="75"/>
      <c r="AH105" s="75"/>
      <c r="AI105" s="75"/>
      <c r="AJ105" s="12"/>
    </row>
    <row r="106" ht="19.5" customHeight="1">
      <c r="A106" s="72"/>
      <c r="B106" s="73"/>
      <c r="C106" s="73"/>
      <c r="D106" s="73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73"/>
      <c r="Q106" s="73"/>
      <c r="R106" s="73"/>
      <c r="S106" s="73"/>
      <c r="T106" s="73"/>
      <c r="U106" s="73"/>
      <c r="V106" s="73"/>
      <c r="W106" s="74"/>
      <c r="X106" s="74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12"/>
    </row>
    <row r="107" ht="19.5" customHeight="1">
      <c r="A107" s="72"/>
      <c r="B107" s="73"/>
      <c r="C107" s="73"/>
      <c r="D107" s="73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73"/>
      <c r="Q107" s="73"/>
      <c r="R107" s="73"/>
      <c r="S107" s="73"/>
      <c r="T107" s="73"/>
      <c r="U107" s="73"/>
      <c r="V107" s="73"/>
      <c r="W107" s="74"/>
      <c r="X107" s="74"/>
      <c r="Y107" s="75"/>
      <c r="Z107" s="75"/>
      <c r="AA107" s="75"/>
      <c r="AB107" s="75"/>
      <c r="AC107" s="75"/>
      <c r="AD107" s="75"/>
      <c r="AE107" s="75"/>
      <c r="AF107" s="75"/>
      <c r="AG107" s="75"/>
      <c r="AH107" s="75"/>
      <c r="AI107" s="75"/>
      <c r="AJ107" s="12"/>
    </row>
    <row r="108" ht="19.5" customHeight="1">
      <c r="A108" s="72"/>
      <c r="B108" s="73"/>
      <c r="C108" s="73"/>
      <c r="D108" s="73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73"/>
      <c r="Q108" s="73"/>
      <c r="R108" s="73"/>
      <c r="S108" s="73"/>
      <c r="T108" s="73"/>
      <c r="U108" s="73"/>
      <c r="V108" s="73"/>
      <c r="W108" s="74"/>
      <c r="X108" s="74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12"/>
    </row>
    <row r="109" ht="19.5" customHeight="1">
      <c r="A109" s="72"/>
      <c r="B109" s="73"/>
      <c r="C109" s="73"/>
      <c r="D109" s="73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73"/>
      <c r="Q109" s="73"/>
      <c r="R109" s="73"/>
      <c r="S109" s="73"/>
      <c r="T109" s="73"/>
      <c r="U109" s="73"/>
      <c r="V109" s="73"/>
      <c r="W109" s="74"/>
      <c r="X109" s="74"/>
      <c r="Y109" s="75"/>
      <c r="Z109" s="75"/>
      <c r="AA109" s="75"/>
      <c r="AB109" s="75"/>
      <c r="AC109" s="75"/>
      <c r="AD109" s="75"/>
      <c r="AE109" s="75"/>
      <c r="AF109" s="75"/>
      <c r="AG109" s="75"/>
      <c r="AH109" s="75"/>
      <c r="AI109" s="75"/>
      <c r="AJ109" s="12"/>
    </row>
    <row r="110" ht="19.5" customHeight="1">
      <c r="A110" s="72"/>
      <c r="B110" s="73"/>
      <c r="C110" s="73"/>
      <c r="D110" s="73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73"/>
      <c r="Q110" s="73"/>
      <c r="R110" s="73"/>
      <c r="S110" s="73"/>
      <c r="T110" s="73"/>
      <c r="U110" s="73"/>
      <c r="V110" s="73"/>
      <c r="W110" s="74"/>
      <c r="X110" s="74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12"/>
    </row>
    <row r="111" ht="19.5" customHeight="1">
      <c r="A111" s="72"/>
      <c r="B111" s="73"/>
      <c r="C111" s="73"/>
      <c r="D111" s="73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73"/>
      <c r="Q111" s="73"/>
      <c r="R111" s="73"/>
      <c r="S111" s="73"/>
      <c r="T111" s="73"/>
      <c r="U111" s="73"/>
      <c r="V111" s="73"/>
      <c r="W111" s="74"/>
      <c r="X111" s="74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12"/>
    </row>
    <row r="112" ht="19.5" customHeight="1">
      <c r="A112" s="72"/>
      <c r="B112" s="73"/>
      <c r="C112" s="73"/>
      <c r="D112" s="73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73"/>
      <c r="Q112" s="73"/>
      <c r="R112" s="73"/>
      <c r="S112" s="73"/>
      <c r="T112" s="73"/>
      <c r="U112" s="73"/>
      <c r="V112" s="73"/>
      <c r="W112" s="74"/>
      <c r="X112" s="74"/>
      <c r="Y112" s="75"/>
      <c r="Z112" s="75"/>
      <c r="AA112" s="75"/>
      <c r="AB112" s="75"/>
      <c r="AC112" s="75"/>
      <c r="AD112" s="75"/>
      <c r="AE112" s="75"/>
      <c r="AF112" s="75"/>
      <c r="AG112" s="75"/>
      <c r="AH112" s="75"/>
      <c r="AI112" s="75"/>
      <c r="AJ112" s="12"/>
    </row>
    <row r="113" ht="19.5" customHeight="1">
      <c r="A113" s="72"/>
      <c r="B113" s="73"/>
      <c r="C113" s="73"/>
      <c r="D113" s="73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73"/>
      <c r="Q113" s="73"/>
      <c r="R113" s="73"/>
      <c r="S113" s="73"/>
      <c r="T113" s="73"/>
      <c r="U113" s="73"/>
      <c r="V113" s="73"/>
      <c r="W113" s="74"/>
      <c r="X113" s="74"/>
      <c r="Y113" s="75"/>
      <c r="Z113" s="75"/>
      <c r="AA113" s="75"/>
      <c r="AB113" s="75"/>
      <c r="AC113" s="75"/>
      <c r="AD113" s="75"/>
      <c r="AE113" s="75"/>
      <c r="AF113" s="75"/>
      <c r="AG113" s="75"/>
      <c r="AH113" s="75"/>
      <c r="AI113" s="75"/>
      <c r="AJ113" s="12"/>
    </row>
    <row r="114" ht="19.5" customHeight="1">
      <c r="A114" s="72"/>
      <c r="B114" s="73"/>
      <c r="C114" s="73"/>
      <c r="D114" s="73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73"/>
      <c r="Q114" s="73"/>
      <c r="R114" s="73"/>
      <c r="S114" s="73"/>
      <c r="T114" s="73"/>
      <c r="U114" s="73"/>
      <c r="V114" s="73"/>
      <c r="W114" s="74"/>
      <c r="X114" s="74"/>
      <c r="Y114" s="75"/>
      <c r="Z114" s="75"/>
      <c r="AA114" s="75"/>
      <c r="AB114" s="75"/>
      <c r="AC114" s="75"/>
      <c r="AD114" s="75"/>
      <c r="AE114" s="75"/>
      <c r="AF114" s="75"/>
      <c r="AG114" s="75"/>
      <c r="AH114" s="75"/>
      <c r="AI114" s="75"/>
      <c r="AJ114" s="12"/>
    </row>
    <row r="115" ht="19.5" customHeight="1">
      <c r="A115" s="72"/>
      <c r="B115" s="73"/>
      <c r="C115" s="73"/>
      <c r="D115" s="73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73"/>
      <c r="Q115" s="73"/>
      <c r="R115" s="73"/>
      <c r="S115" s="73"/>
      <c r="T115" s="73"/>
      <c r="U115" s="73"/>
      <c r="V115" s="73"/>
      <c r="W115" s="74"/>
      <c r="X115" s="74"/>
      <c r="Y115" s="75"/>
      <c r="Z115" s="75"/>
      <c r="AA115" s="75"/>
      <c r="AB115" s="75"/>
      <c r="AC115" s="75"/>
      <c r="AD115" s="75"/>
      <c r="AE115" s="75"/>
      <c r="AF115" s="75"/>
      <c r="AG115" s="75"/>
      <c r="AH115" s="75"/>
      <c r="AI115" s="75"/>
      <c r="AJ115" s="12"/>
    </row>
    <row r="116" ht="19.5" customHeight="1">
      <c r="A116" s="72"/>
      <c r="B116" s="73"/>
      <c r="C116" s="73"/>
      <c r="D116" s="73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73"/>
      <c r="Q116" s="73"/>
      <c r="R116" s="73"/>
      <c r="S116" s="73"/>
      <c r="T116" s="73"/>
      <c r="U116" s="73"/>
      <c r="V116" s="73"/>
      <c r="W116" s="74"/>
      <c r="X116" s="74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12"/>
    </row>
    <row r="117" ht="19.5" customHeight="1">
      <c r="A117" s="72"/>
      <c r="B117" s="73"/>
      <c r="C117" s="73"/>
      <c r="D117" s="73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73"/>
      <c r="Q117" s="73"/>
      <c r="R117" s="73"/>
      <c r="S117" s="73"/>
      <c r="T117" s="73"/>
      <c r="U117" s="73"/>
      <c r="V117" s="73"/>
      <c r="W117" s="74"/>
      <c r="X117" s="74"/>
      <c r="Y117" s="75"/>
      <c r="Z117" s="75"/>
      <c r="AA117" s="75"/>
      <c r="AB117" s="75"/>
      <c r="AC117" s="75"/>
      <c r="AD117" s="75"/>
      <c r="AE117" s="75"/>
      <c r="AF117" s="75"/>
      <c r="AG117" s="75"/>
      <c r="AH117" s="75"/>
      <c r="AI117" s="75"/>
      <c r="AJ117" s="12"/>
    </row>
    <row r="118" ht="19.5" customHeight="1">
      <c r="A118" s="72"/>
      <c r="B118" s="73"/>
      <c r="C118" s="73"/>
      <c r="D118" s="73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73"/>
      <c r="Q118" s="73"/>
      <c r="R118" s="73"/>
      <c r="S118" s="73"/>
      <c r="T118" s="73"/>
      <c r="U118" s="73"/>
      <c r="V118" s="73"/>
      <c r="W118" s="74"/>
      <c r="X118" s="74"/>
      <c r="Y118" s="75"/>
      <c r="Z118" s="75"/>
      <c r="AA118" s="75"/>
      <c r="AB118" s="75"/>
      <c r="AC118" s="75"/>
      <c r="AD118" s="75"/>
      <c r="AE118" s="75"/>
      <c r="AF118" s="75"/>
      <c r="AG118" s="75"/>
      <c r="AH118" s="75"/>
      <c r="AI118" s="75"/>
      <c r="AJ118" s="12"/>
    </row>
    <row r="119" ht="19.5" customHeight="1">
      <c r="A119" s="72"/>
      <c r="B119" s="73"/>
      <c r="C119" s="73"/>
      <c r="D119" s="73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73"/>
      <c r="Q119" s="73"/>
      <c r="R119" s="73"/>
      <c r="S119" s="73"/>
      <c r="T119" s="73"/>
      <c r="U119" s="73"/>
      <c r="V119" s="73"/>
      <c r="W119" s="74"/>
      <c r="X119" s="74"/>
      <c r="Y119" s="75"/>
      <c r="Z119" s="75"/>
      <c r="AA119" s="75"/>
      <c r="AB119" s="75"/>
      <c r="AC119" s="75"/>
      <c r="AD119" s="75"/>
      <c r="AE119" s="75"/>
      <c r="AF119" s="75"/>
      <c r="AG119" s="75"/>
      <c r="AH119" s="75"/>
      <c r="AI119" s="75"/>
      <c r="AJ119" s="12"/>
    </row>
    <row r="120" ht="19.5" customHeight="1">
      <c r="A120" s="72"/>
      <c r="B120" s="73"/>
      <c r="C120" s="73"/>
      <c r="D120" s="73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73"/>
      <c r="Q120" s="73"/>
      <c r="R120" s="73"/>
      <c r="S120" s="73"/>
      <c r="T120" s="73"/>
      <c r="U120" s="73"/>
      <c r="V120" s="73"/>
      <c r="W120" s="74"/>
      <c r="X120" s="74"/>
      <c r="Y120" s="75"/>
      <c r="Z120" s="75"/>
      <c r="AA120" s="75"/>
      <c r="AB120" s="75"/>
      <c r="AC120" s="75"/>
      <c r="AD120" s="75"/>
      <c r="AE120" s="75"/>
      <c r="AF120" s="75"/>
      <c r="AG120" s="75"/>
      <c r="AH120" s="75"/>
      <c r="AI120" s="75"/>
      <c r="AJ120" s="12"/>
    </row>
    <row r="121" ht="19.5" customHeight="1">
      <c r="A121" s="72"/>
      <c r="B121" s="73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73"/>
      <c r="Q121" s="73"/>
      <c r="R121" s="73"/>
      <c r="S121" s="73"/>
      <c r="T121" s="73"/>
      <c r="U121" s="73"/>
      <c r="V121" s="73"/>
      <c r="W121" s="74"/>
      <c r="X121" s="74"/>
      <c r="Y121" s="75"/>
      <c r="Z121" s="75"/>
      <c r="AA121" s="75"/>
      <c r="AB121" s="75"/>
      <c r="AC121" s="75"/>
      <c r="AD121" s="75"/>
      <c r="AE121" s="75"/>
      <c r="AF121" s="75"/>
      <c r="AG121" s="75"/>
      <c r="AH121" s="75"/>
      <c r="AI121" s="75"/>
      <c r="AJ121" s="12"/>
    </row>
    <row r="122" ht="19.5" customHeight="1">
      <c r="A122" s="72"/>
      <c r="B122" s="73"/>
      <c r="C122" s="73"/>
      <c r="D122" s="73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73"/>
      <c r="Q122" s="73"/>
      <c r="R122" s="73"/>
      <c r="S122" s="73"/>
      <c r="T122" s="73"/>
      <c r="U122" s="73"/>
      <c r="V122" s="73"/>
      <c r="W122" s="74"/>
      <c r="X122" s="74"/>
      <c r="Y122" s="75"/>
      <c r="Z122" s="75"/>
      <c r="AA122" s="75"/>
      <c r="AB122" s="75"/>
      <c r="AC122" s="75"/>
      <c r="AD122" s="75"/>
      <c r="AE122" s="75"/>
      <c r="AF122" s="75"/>
      <c r="AG122" s="75"/>
      <c r="AH122" s="75"/>
      <c r="AI122" s="75"/>
      <c r="AJ122" s="12"/>
    </row>
    <row r="123" ht="19.5" customHeight="1">
      <c r="A123" s="72"/>
      <c r="B123" s="73"/>
      <c r="C123" s="73"/>
      <c r="D123" s="73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73"/>
      <c r="Q123" s="73"/>
      <c r="R123" s="73"/>
      <c r="S123" s="73"/>
      <c r="T123" s="73"/>
      <c r="U123" s="73"/>
      <c r="V123" s="73"/>
      <c r="W123" s="74"/>
      <c r="X123" s="74"/>
      <c r="Y123" s="75"/>
      <c r="Z123" s="75"/>
      <c r="AA123" s="75"/>
      <c r="AB123" s="75"/>
      <c r="AC123" s="75"/>
      <c r="AD123" s="75"/>
      <c r="AE123" s="75"/>
      <c r="AF123" s="75"/>
      <c r="AG123" s="75"/>
      <c r="AH123" s="75"/>
      <c r="AI123" s="75"/>
      <c r="AJ123" s="12"/>
    </row>
    <row r="124" ht="19.5" customHeight="1">
      <c r="A124" s="72"/>
      <c r="B124" s="73"/>
      <c r="C124" s="73"/>
      <c r="D124" s="73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73"/>
      <c r="Q124" s="73"/>
      <c r="R124" s="73"/>
      <c r="S124" s="73"/>
      <c r="T124" s="73"/>
      <c r="U124" s="73"/>
      <c r="V124" s="73"/>
      <c r="W124" s="74"/>
      <c r="X124" s="74"/>
      <c r="Y124" s="75"/>
      <c r="Z124" s="75"/>
      <c r="AA124" s="75"/>
      <c r="AB124" s="75"/>
      <c r="AC124" s="75"/>
      <c r="AD124" s="75"/>
      <c r="AE124" s="75"/>
      <c r="AF124" s="75"/>
      <c r="AG124" s="75"/>
      <c r="AH124" s="75"/>
      <c r="AI124" s="75"/>
      <c r="AJ124" s="12"/>
    </row>
    <row r="125" ht="19.5" customHeight="1">
      <c r="A125" s="72"/>
      <c r="B125" s="73"/>
      <c r="C125" s="73"/>
      <c r="D125" s="73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73"/>
      <c r="Q125" s="73"/>
      <c r="R125" s="73"/>
      <c r="S125" s="73"/>
      <c r="T125" s="73"/>
      <c r="U125" s="73"/>
      <c r="V125" s="73"/>
      <c r="W125" s="74"/>
      <c r="X125" s="74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12"/>
    </row>
    <row r="126" ht="19.5" customHeight="1">
      <c r="A126" s="72"/>
      <c r="B126" s="73"/>
      <c r="C126" s="73"/>
      <c r="D126" s="73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73"/>
      <c r="Q126" s="73"/>
      <c r="R126" s="73"/>
      <c r="S126" s="73"/>
      <c r="T126" s="73"/>
      <c r="U126" s="73"/>
      <c r="V126" s="73"/>
      <c r="W126" s="74"/>
      <c r="X126" s="74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12"/>
    </row>
    <row r="127" ht="19.5" customHeight="1">
      <c r="A127" s="72"/>
      <c r="B127" s="73"/>
      <c r="C127" s="73"/>
      <c r="D127" s="73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73"/>
      <c r="Q127" s="73"/>
      <c r="R127" s="73"/>
      <c r="S127" s="73"/>
      <c r="T127" s="73"/>
      <c r="U127" s="73"/>
      <c r="V127" s="73"/>
      <c r="W127" s="74"/>
      <c r="X127" s="74"/>
      <c r="Y127" s="75"/>
      <c r="Z127" s="75"/>
      <c r="AA127" s="75"/>
      <c r="AB127" s="75"/>
      <c r="AC127" s="75"/>
      <c r="AD127" s="75"/>
      <c r="AE127" s="75"/>
      <c r="AF127" s="75"/>
      <c r="AG127" s="75"/>
      <c r="AH127" s="75"/>
      <c r="AI127" s="75"/>
      <c r="AJ127" s="12"/>
    </row>
    <row r="128" ht="19.5" customHeight="1">
      <c r="A128" s="72"/>
      <c r="B128" s="73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4"/>
      <c r="X128" s="74"/>
      <c r="Y128" s="75"/>
      <c r="Z128" s="75"/>
      <c r="AA128" s="75"/>
      <c r="AB128" s="75"/>
      <c r="AC128" s="75"/>
      <c r="AD128" s="75"/>
      <c r="AE128" s="75"/>
      <c r="AF128" s="75"/>
      <c r="AG128" s="75"/>
      <c r="AH128" s="75"/>
      <c r="AI128" s="75"/>
      <c r="AJ128" s="12"/>
    </row>
    <row r="129" ht="19.5" customHeight="1">
      <c r="A129" s="72"/>
      <c r="B129" s="73"/>
      <c r="C129" s="73"/>
      <c r="D129" s="73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73"/>
      <c r="Q129" s="73"/>
      <c r="R129" s="73"/>
      <c r="S129" s="73"/>
      <c r="T129" s="73"/>
      <c r="U129" s="73"/>
      <c r="V129" s="73"/>
      <c r="W129" s="74"/>
      <c r="X129" s="74"/>
      <c r="Y129" s="75"/>
      <c r="Z129" s="75"/>
      <c r="AA129" s="75"/>
      <c r="AB129" s="75"/>
      <c r="AC129" s="75"/>
      <c r="AD129" s="75"/>
      <c r="AE129" s="75"/>
      <c r="AF129" s="75"/>
      <c r="AG129" s="75"/>
      <c r="AH129" s="75"/>
      <c r="AI129" s="75"/>
      <c r="AJ129" s="12"/>
    </row>
    <row r="130" ht="19.5" customHeight="1">
      <c r="A130" s="72"/>
      <c r="B130" s="73"/>
      <c r="C130" s="73"/>
      <c r="D130" s="73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73"/>
      <c r="Q130" s="73"/>
      <c r="R130" s="73"/>
      <c r="S130" s="73"/>
      <c r="T130" s="73"/>
      <c r="U130" s="73"/>
      <c r="V130" s="73"/>
      <c r="W130" s="74"/>
      <c r="X130" s="74"/>
      <c r="Y130" s="75"/>
      <c r="Z130" s="75"/>
      <c r="AA130" s="75"/>
      <c r="AB130" s="75"/>
      <c r="AC130" s="75"/>
      <c r="AD130" s="75"/>
      <c r="AE130" s="75"/>
      <c r="AF130" s="75"/>
      <c r="AG130" s="75"/>
      <c r="AH130" s="75"/>
      <c r="AI130" s="75"/>
      <c r="AJ130" s="12"/>
    </row>
    <row r="131" ht="19.5" customHeight="1">
      <c r="A131" s="72"/>
      <c r="B131" s="73"/>
      <c r="C131" s="73"/>
      <c r="D131" s="73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73"/>
      <c r="Q131" s="73"/>
      <c r="R131" s="73"/>
      <c r="S131" s="73"/>
      <c r="T131" s="73"/>
      <c r="U131" s="73"/>
      <c r="V131" s="73"/>
      <c r="W131" s="74"/>
      <c r="X131" s="74"/>
      <c r="Y131" s="75"/>
      <c r="Z131" s="75"/>
      <c r="AA131" s="75"/>
      <c r="AB131" s="75"/>
      <c r="AC131" s="75"/>
      <c r="AD131" s="75"/>
      <c r="AE131" s="75"/>
      <c r="AF131" s="75"/>
      <c r="AG131" s="75"/>
      <c r="AH131" s="75"/>
      <c r="AI131" s="75"/>
      <c r="AJ131" s="12"/>
    </row>
    <row r="132" ht="19.5" customHeight="1">
      <c r="A132" s="72"/>
      <c r="B132" s="73"/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4"/>
      <c r="X132" s="74"/>
      <c r="Y132" s="75"/>
      <c r="Z132" s="75"/>
      <c r="AA132" s="75"/>
      <c r="AB132" s="75"/>
      <c r="AC132" s="75"/>
      <c r="AD132" s="75"/>
      <c r="AE132" s="75"/>
      <c r="AF132" s="75"/>
      <c r="AG132" s="75"/>
      <c r="AH132" s="75"/>
      <c r="AI132" s="75"/>
      <c r="AJ132" s="12"/>
    </row>
    <row r="133" ht="19.5" customHeight="1">
      <c r="A133" s="72"/>
      <c r="B133" s="73"/>
      <c r="C133" s="73"/>
      <c r="D133" s="73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73"/>
      <c r="Q133" s="73"/>
      <c r="R133" s="73"/>
      <c r="S133" s="73"/>
      <c r="T133" s="73"/>
      <c r="U133" s="73"/>
      <c r="V133" s="73"/>
      <c r="W133" s="74"/>
      <c r="X133" s="74"/>
      <c r="Y133" s="75"/>
      <c r="Z133" s="75"/>
      <c r="AA133" s="75"/>
      <c r="AB133" s="75"/>
      <c r="AC133" s="75"/>
      <c r="AD133" s="75"/>
      <c r="AE133" s="75"/>
      <c r="AF133" s="75"/>
      <c r="AG133" s="75"/>
      <c r="AH133" s="75"/>
      <c r="AI133" s="75"/>
      <c r="AJ133" s="12"/>
    </row>
    <row r="134" ht="19.5" customHeight="1">
      <c r="A134" s="72"/>
      <c r="B134" s="73"/>
      <c r="C134" s="73"/>
      <c r="D134" s="73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73"/>
      <c r="Q134" s="73"/>
      <c r="R134" s="73"/>
      <c r="S134" s="73"/>
      <c r="T134" s="73"/>
      <c r="U134" s="73"/>
      <c r="V134" s="73"/>
      <c r="W134" s="74"/>
      <c r="X134" s="74"/>
      <c r="Y134" s="75"/>
      <c r="Z134" s="75"/>
      <c r="AA134" s="75"/>
      <c r="AB134" s="75"/>
      <c r="AC134" s="75"/>
      <c r="AD134" s="75"/>
      <c r="AE134" s="75"/>
      <c r="AF134" s="75"/>
      <c r="AG134" s="75"/>
      <c r="AH134" s="75"/>
      <c r="AI134" s="75"/>
      <c r="AJ134" s="12"/>
    </row>
    <row r="135" ht="19.5" customHeight="1">
      <c r="A135" s="72"/>
      <c r="B135" s="73"/>
      <c r="C135" s="73"/>
      <c r="D135" s="73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73"/>
      <c r="Q135" s="73"/>
      <c r="R135" s="73"/>
      <c r="S135" s="73"/>
      <c r="T135" s="73"/>
      <c r="U135" s="73"/>
      <c r="V135" s="73"/>
      <c r="W135" s="74"/>
      <c r="X135" s="74"/>
      <c r="Y135" s="75"/>
      <c r="Z135" s="75"/>
      <c r="AA135" s="75"/>
      <c r="AB135" s="75"/>
      <c r="AC135" s="75"/>
      <c r="AD135" s="75"/>
      <c r="AE135" s="75"/>
      <c r="AF135" s="75"/>
      <c r="AG135" s="75"/>
      <c r="AH135" s="75"/>
      <c r="AI135" s="75"/>
      <c r="AJ135" s="12"/>
    </row>
    <row r="136" ht="19.5" customHeight="1">
      <c r="A136" s="72"/>
      <c r="B136" s="73"/>
      <c r="C136" s="73"/>
      <c r="D136" s="73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73"/>
      <c r="Q136" s="73"/>
      <c r="R136" s="73"/>
      <c r="S136" s="73"/>
      <c r="T136" s="73"/>
      <c r="U136" s="73"/>
      <c r="V136" s="73"/>
      <c r="W136" s="74"/>
      <c r="X136" s="74"/>
      <c r="Y136" s="75"/>
      <c r="Z136" s="75"/>
      <c r="AA136" s="75"/>
      <c r="AB136" s="75"/>
      <c r="AC136" s="75"/>
      <c r="AD136" s="75"/>
      <c r="AE136" s="75"/>
      <c r="AF136" s="75"/>
      <c r="AG136" s="75"/>
      <c r="AH136" s="75"/>
      <c r="AI136" s="75"/>
      <c r="AJ136" s="12"/>
    </row>
    <row r="137" ht="19.5" customHeight="1">
      <c r="A137" s="72"/>
      <c r="B137" s="73"/>
      <c r="C137" s="73"/>
      <c r="D137" s="73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73"/>
      <c r="Q137" s="73"/>
      <c r="R137" s="73"/>
      <c r="S137" s="73"/>
      <c r="T137" s="73"/>
      <c r="U137" s="73"/>
      <c r="V137" s="73"/>
      <c r="W137" s="74"/>
      <c r="X137" s="74"/>
      <c r="Y137" s="75"/>
      <c r="Z137" s="75"/>
      <c r="AA137" s="75"/>
      <c r="AB137" s="75"/>
      <c r="AC137" s="75"/>
      <c r="AD137" s="75"/>
      <c r="AE137" s="75"/>
      <c r="AF137" s="75"/>
      <c r="AG137" s="75"/>
      <c r="AH137" s="75"/>
      <c r="AI137" s="75"/>
      <c r="AJ137" s="12"/>
    </row>
    <row r="138" ht="19.5" customHeight="1">
      <c r="A138" s="72"/>
      <c r="B138" s="73"/>
      <c r="C138" s="73"/>
      <c r="D138" s="73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73"/>
      <c r="Q138" s="73"/>
      <c r="R138" s="73"/>
      <c r="S138" s="73"/>
      <c r="T138" s="73"/>
      <c r="U138" s="73"/>
      <c r="V138" s="73"/>
      <c r="W138" s="74"/>
      <c r="X138" s="74"/>
      <c r="Y138" s="75"/>
      <c r="Z138" s="75"/>
      <c r="AA138" s="75"/>
      <c r="AB138" s="75"/>
      <c r="AC138" s="75"/>
      <c r="AD138" s="75"/>
      <c r="AE138" s="75"/>
      <c r="AF138" s="75"/>
      <c r="AG138" s="75"/>
      <c r="AH138" s="75"/>
      <c r="AI138" s="75"/>
      <c r="AJ138" s="12"/>
    </row>
    <row r="139" ht="19.5" customHeight="1">
      <c r="A139" s="72"/>
      <c r="B139" s="73"/>
      <c r="C139" s="73"/>
      <c r="D139" s="73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73"/>
      <c r="Q139" s="73"/>
      <c r="R139" s="73"/>
      <c r="S139" s="73"/>
      <c r="T139" s="73"/>
      <c r="U139" s="73"/>
      <c r="V139" s="73"/>
      <c r="W139" s="74"/>
      <c r="X139" s="74"/>
      <c r="Y139" s="75"/>
      <c r="Z139" s="75"/>
      <c r="AA139" s="75"/>
      <c r="AB139" s="75"/>
      <c r="AC139" s="75"/>
      <c r="AD139" s="75"/>
      <c r="AE139" s="75"/>
      <c r="AF139" s="75"/>
      <c r="AG139" s="75"/>
      <c r="AH139" s="75"/>
      <c r="AI139" s="75"/>
      <c r="AJ139" s="12"/>
    </row>
    <row r="140" ht="19.5" customHeight="1">
      <c r="A140" s="72"/>
      <c r="B140" s="73"/>
      <c r="C140" s="73"/>
      <c r="D140" s="73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73"/>
      <c r="Q140" s="73"/>
      <c r="R140" s="73"/>
      <c r="S140" s="73"/>
      <c r="T140" s="73"/>
      <c r="U140" s="73"/>
      <c r="V140" s="73"/>
      <c r="W140" s="74"/>
      <c r="X140" s="74"/>
      <c r="Y140" s="75"/>
      <c r="Z140" s="75"/>
      <c r="AA140" s="75"/>
      <c r="AB140" s="75"/>
      <c r="AC140" s="75"/>
      <c r="AD140" s="75"/>
      <c r="AE140" s="75"/>
      <c r="AF140" s="75"/>
      <c r="AG140" s="75"/>
      <c r="AH140" s="75"/>
      <c r="AI140" s="75"/>
      <c r="AJ140" s="12"/>
    </row>
    <row r="141" ht="19.5" customHeight="1">
      <c r="A141" s="72"/>
      <c r="B141" s="73"/>
      <c r="C141" s="73"/>
      <c r="D141" s="73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73"/>
      <c r="Q141" s="73"/>
      <c r="R141" s="73"/>
      <c r="S141" s="73"/>
      <c r="T141" s="73"/>
      <c r="U141" s="73"/>
      <c r="V141" s="73"/>
      <c r="W141" s="74"/>
      <c r="X141" s="74"/>
      <c r="Y141" s="75"/>
      <c r="Z141" s="75"/>
      <c r="AA141" s="75"/>
      <c r="AB141" s="75"/>
      <c r="AC141" s="75"/>
      <c r="AD141" s="75"/>
      <c r="AE141" s="75"/>
      <c r="AF141" s="75"/>
      <c r="AG141" s="75"/>
      <c r="AH141" s="75"/>
      <c r="AI141" s="75"/>
      <c r="AJ141" s="12"/>
    </row>
    <row r="142" ht="19.5" customHeight="1">
      <c r="A142" s="72"/>
      <c r="B142" s="73"/>
      <c r="C142" s="73"/>
      <c r="D142" s="73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73"/>
      <c r="Q142" s="73"/>
      <c r="R142" s="73"/>
      <c r="S142" s="73"/>
      <c r="T142" s="73"/>
      <c r="U142" s="73"/>
      <c r="V142" s="73"/>
      <c r="W142" s="74"/>
      <c r="X142" s="74"/>
      <c r="Y142" s="75"/>
      <c r="Z142" s="75"/>
      <c r="AA142" s="75"/>
      <c r="AB142" s="75"/>
      <c r="AC142" s="75"/>
      <c r="AD142" s="75"/>
      <c r="AE142" s="75"/>
      <c r="AF142" s="75"/>
      <c r="AG142" s="75"/>
      <c r="AH142" s="75"/>
      <c r="AI142" s="75"/>
      <c r="AJ142" s="12"/>
    </row>
    <row r="143" ht="19.5" customHeight="1">
      <c r="A143" s="72"/>
      <c r="B143" s="73"/>
      <c r="C143" s="73"/>
      <c r="D143" s="73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73"/>
      <c r="Q143" s="73"/>
      <c r="R143" s="73"/>
      <c r="S143" s="73"/>
      <c r="T143" s="73"/>
      <c r="U143" s="73"/>
      <c r="V143" s="73"/>
      <c r="W143" s="74"/>
      <c r="X143" s="74"/>
      <c r="Y143" s="75"/>
      <c r="Z143" s="75"/>
      <c r="AA143" s="75"/>
      <c r="AB143" s="75"/>
      <c r="AC143" s="75"/>
      <c r="AD143" s="75"/>
      <c r="AE143" s="75"/>
      <c r="AF143" s="75"/>
      <c r="AG143" s="75"/>
      <c r="AH143" s="75"/>
      <c r="AI143" s="75"/>
      <c r="AJ143" s="12"/>
    </row>
    <row r="144" ht="19.5" customHeight="1">
      <c r="A144" s="72"/>
      <c r="B144" s="73"/>
      <c r="C144" s="73"/>
      <c r="D144" s="73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73"/>
      <c r="Q144" s="73"/>
      <c r="R144" s="73"/>
      <c r="S144" s="73"/>
      <c r="T144" s="73"/>
      <c r="U144" s="73"/>
      <c r="V144" s="73"/>
      <c r="W144" s="74"/>
      <c r="X144" s="74"/>
      <c r="Y144" s="75"/>
      <c r="Z144" s="75"/>
      <c r="AA144" s="75"/>
      <c r="AB144" s="75"/>
      <c r="AC144" s="75"/>
      <c r="AD144" s="75"/>
      <c r="AE144" s="75"/>
      <c r="AF144" s="75"/>
      <c r="AG144" s="75"/>
      <c r="AH144" s="75"/>
      <c r="AI144" s="75"/>
      <c r="AJ144" s="12"/>
    </row>
    <row r="145" ht="19.5" customHeight="1">
      <c r="A145" s="72"/>
      <c r="B145" s="73"/>
      <c r="C145" s="73"/>
      <c r="D145" s="73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73"/>
      <c r="Q145" s="73"/>
      <c r="R145" s="73"/>
      <c r="S145" s="73"/>
      <c r="T145" s="73"/>
      <c r="U145" s="73"/>
      <c r="V145" s="73"/>
      <c r="W145" s="74"/>
      <c r="X145" s="74"/>
      <c r="Y145" s="75"/>
      <c r="Z145" s="75"/>
      <c r="AA145" s="75"/>
      <c r="AB145" s="75"/>
      <c r="AC145" s="75"/>
      <c r="AD145" s="75"/>
      <c r="AE145" s="75"/>
      <c r="AF145" s="75"/>
      <c r="AG145" s="75"/>
      <c r="AH145" s="75"/>
      <c r="AI145" s="75"/>
      <c r="AJ145" s="12"/>
    </row>
    <row r="146" ht="19.5" customHeight="1">
      <c r="A146" s="72"/>
      <c r="B146" s="73"/>
      <c r="C146" s="73"/>
      <c r="D146" s="73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73"/>
      <c r="Q146" s="73"/>
      <c r="R146" s="73"/>
      <c r="S146" s="73"/>
      <c r="T146" s="73"/>
      <c r="U146" s="73"/>
      <c r="V146" s="73"/>
      <c r="W146" s="74"/>
      <c r="X146" s="74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12"/>
    </row>
    <row r="147" ht="19.5" customHeight="1">
      <c r="A147" s="72"/>
      <c r="B147" s="73"/>
      <c r="C147" s="73"/>
      <c r="D147" s="73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73"/>
      <c r="Q147" s="73"/>
      <c r="R147" s="73"/>
      <c r="S147" s="73"/>
      <c r="T147" s="73"/>
      <c r="U147" s="73"/>
      <c r="V147" s="73"/>
      <c r="W147" s="74"/>
      <c r="X147" s="74"/>
      <c r="Y147" s="75"/>
      <c r="Z147" s="75"/>
      <c r="AA147" s="75"/>
      <c r="AB147" s="75"/>
      <c r="AC147" s="75"/>
      <c r="AD147" s="75"/>
      <c r="AE147" s="75"/>
      <c r="AF147" s="75"/>
      <c r="AG147" s="75"/>
      <c r="AH147" s="75"/>
      <c r="AI147" s="75"/>
      <c r="AJ147" s="12"/>
    </row>
    <row r="148" ht="19.5" customHeight="1">
      <c r="A148" s="72"/>
      <c r="B148" s="73"/>
      <c r="C148" s="73"/>
      <c r="D148" s="73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73"/>
      <c r="Q148" s="73"/>
      <c r="R148" s="73"/>
      <c r="S148" s="73"/>
      <c r="T148" s="73"/>
      <c r="U148" s="73"/>
      <c r="V148" s="73"/>
      <c r="W148" s="74"/>
      <c r="X148" s="74"/>
      <c r="Y148" s="75"/>
      <c r="Z148" s="75"/>
      <c r="AA148" s="75"/>
      <c r="AB148" s="75"/>
      <c r="AC148" s="75"/>
      <c r="AD148" s="75"/>
      <c r="AE148" s="75"/>
      <c r="AF148" s="75"/>
      <c r="AG148" s="75"/>
      <c r="AH148" s="75"/>
      <c r="AI148" s="75"/>
      <c r="AJ148" s="12"/>
    </row>
    <row r="149" ht="19.5" customHeight="1">
      <c r="A149" s="72"/>
      <c r="B149" s="73"/>
      <c r="C149" s="73"/>
      <c r="D149" s="73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73"/>
      <c r="Q149" s="73"/>
      <c r="R149" s="73"/>
      <c r="S149" s="73"/>
      <c r="T149" s="73"/>
      <c r="U149" s="73"/>
      <c r="V149" s="73"/>
      <c r="W149" s="74"/>
      <c r="X149" s="74"/>
      <c r="Y149" s="75"/>
      <c r="Z149" s="75"/>
      <c r="AA149" s="75"/>
      <c r="AB149" s="75"/>
      <c r="AC149" s="75"/>
      <c r="AD149" s="75"/>
      <c r="AE149" s="75"/>
      <c r="AF149" s="75"/>
      <c r="AG149" s="75"/>
      <c r="AH149" s="75"/>
      <c r="AI149" s="75"/>
      <c r="AJ149" s="12"/>
    </row>
    <row r="150" ht="19.5" customHeight="1">
      <c r="A150" s="72"/>
      <c r="B150" s="73"/>
      <c r="C150" s="73"/>
      <c r="D150" s="73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73"/>
      <c r="Q150" s="73"/>
      <c r="R150" s="73"/>
      <c r="S150" s="73"/>
      <c r="T150" s="73"/>
      <c r="U150" s="73"/>
      <c r="V150" s="73"/>
      <c r="W150" s="74"/>
      <c r="X150" s="74"/>
      <c r="Y150" s="75"/>
      <c r="Z150" s="75"/>
      <c r="AA150" s="75"/>
      <c r="AB150" s="75"/>
      <c r="AC150" s="75"/>
      <c r="AD150" s="75"/>
      <c r="AE150" s="75"/>
      <c r="AF150" s="75"/>
      <c r="AG150" s="75"/>
      <c r="AH150" s="75"/>
      <c r="AI150" s="75"/>
      <c r="AJ150" s="12"/>
    </row>
    <row r="151" ht="19.5" customHeight="1">
      <c r="A151" s="72"/>
      <c r="B151" s="73"/>
      <c r="C151" s="73"/>
      <c r="D151" s="73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73"/>
      <c r="Q151" s="73"/>
      <c r="R151" s="73"/>
      <c r="S151" s="73"/>
      <c r="T151" s="73"/>
      <c r="U151" s="73"/>
      <c r="V151" s="73"/>
      <c r="W151" s="74"/>
      <c r="X151" s="74"/>
      <c r="Y151" s="75"/>
      <c r="Z151" s="75"/>
      <c r="AA151" s="75"/>
      <c r="AB151" s="75"/>
      <c r="AC151" s="75"/>
      <c r="AD151" s="75"/>
      <c r="AE151" s="75"/>
      <c r="AF151" s="75"/>
      <c r="AG151" s="75"/>
      <c r="AH151" s="75"/>
      <c r="AI151" s="75"/>
      <c r="AJ151" s="12"/>
    </row>
    <row r="152" ht="19.5" customHeight="1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3"/>
      <c r="W152" s="74"/>
      <c r="X152" s="74"/>
      <c r="Y152" s="75"/>
      <c r="Z152" s="75"/>
      <c r="AA152" s="75"/>
      <c r="AB152" s="75"/>
      <c r="AC152" s="75"/>
      <c r="AD152" s="75"/>
      <c r="AE152" s="75"/>
      <c r="AF152" s="75"/>
      <c r="AG152" s="75"/>
      <c r="AH152" s="75"/>
      <c r="AI152" s="75"/>
      <c r="AJ152" s="12"/>
    </row>
    <row r="153" ht="19.5" customHeight="1">
      <c r="A153" s="72"/>
      <c r="B153" s="73"/>
      <c r="C153" s="73"/>
      <c r="D153" s="73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73"/>
      <c r="Q153" s="73"/>
      <c r="R153" s="73"/>
      <c r="S153" s="73"/>
      <c r="T153" s="73"/>
      <c r="U153" s="73"/>
      <c r="V153" s="73"/>
      <c r="W153" s="74"/>
      <c r="X153" s="74"/>
      <c r="Y153" s="75"/>
      <c r="Z153" s="75"/>
      <c r="AA153" s="75"/>
      <c r="AB153" s="75"/>
      <c r="AC153" s="75"/>
      <c r="AD153" s="75"/>
      <c r="AE153" s="75"/>
      <c r="AF153" s="75"/>
      <c r="AG153" s="75"/>
      <c r="AH153" s="75"/>
      <c r="AI153" s="75"/>
      <c r="AJ153" s="12"/>
    </row>
    <row r="154" ht="19.5" customHeight="1">
      <c r="A154" s="72"/>
      <c r="B154" s="73"/>
      <c r="C154" s="73"/>
      <c r="D154" s="73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73"/>
      <c r="Q154" s="73"/>
      <c r="R154" s="73"/>
      <c r="S154" s="73"/>
      <c r="T154" s="73"/>
      <c r="U154" s="73"/>
      <c r="V154" s="73"/>
      <c r="W154" s="74"/>
      <c r="X154" s="74"/>
      <c r="Y154" s="75"/>
      <c r="Z154" s="75"/>
      <c r="AA154" s="75"/>
      <c r="AB154" s="75"/>
      <c r="AC154" s="75"/>
      <c r="AD154" s="75"/>
      <c r="AE154" s="75"/>
      <c r="AF154" s="75"/>
      <c r="AG154" s="75"/>
      <c r="AH154" s="75"/>
      <c r="AI154" s="75"/>
      <c r="AJ154" s="12"/>
    </row>
    <row r="155" ht="19.5" customHeight="1">
      <c r="A155" s="72"/>
      <c r="B155" s="73"/>
      <c r="C155" s="73"/>
      <c r="D155" s="73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73"/>
      <c r="Q155" s="73"/>
      <c r="R155" s="73"/>
      <c r="S155" s="73"/>
      <c r="T155" s="73"/>
      <c r="U155" s="73"/>
      <c r="V155" s="73"/>
      <c r="W155" s="74"/>
      <c r="X155" s="74"/>
      <c r="Y155" s="75"/>
      <c r="Z155" s="75"/>
      <c r="AA155" s="75"/>
      <c r="AB155" s="75"/>
      <c r="AC155" s="75"/>
      <c r="AD155" s="75"/>
      <c r="AE155" s="75"/>
      <c r="AF155" s="75"/>
      <c r="AG155" s="75"/>
      <c r="AH155" s="75"/>
      <c r="AI155" s="75"/>
      <c r="AJ155" s="12"/>
    </row>
    <row r="156" ht="19.5" customHeight="1">
      <c r="A156" s="72"/>
      <c r="B156" s="73"/>
      <c r="C156" s="73"/>
      <c r="D156" s="73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73"/>
      <c r="Q156" s="73"/>
      <c r="R156" s="73"/>
      <c r="S156" s="73"/>
      <c r="T156" s="73"/>
      <c r="U156" s="73"/>
      <c r="V156" s="73"/>
      <c r="W156" s="74"/>
      <c r="X156" s="74"/>
      <c r="Y156" s="75"/>
      <c r="Z156" s="75"/>
      <c r="AA156" s="75"/>
      <c r="AB156" s="75"/>
      <c r="AC156" s="75"/>
      <c r="AD156" s="75"/>
      <c r="AE156" s="75"/>
      <c r="AF156" s="75"/>
      <c r="AG156" s="75"/>
      <c r="AH156" s="75"/>
      <c r="AI156" s="75"/>
      <c r="AJ156" s="12"/>
    </row>
    <row r="157" ht="19.5" customHeight="1">
      <c r="A157" s="72"/>
      <c r="B157" s="73"/>
      <c r="C157" s="73"/>
      <c r="D157" s="73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73"/>
      <c r="Q157" s="73"/>
      <c r="R157" s="73"/>
      <c r="S157" s="73"/>
      <c r="T157" s="73"/>
      <c r="U157" s="73"/>
      <c r="V157" s="73"/>
      <c r="W157" s="74"/>
      <c r="X157" s="74"/>
      <c r="Y157" s="75"/>
      <c r="Z157" s="75"/>
      <c r="AA157" s="75"/>
      <c r="AB157" s="75"/>
      <c r="AC157" s="75"/>
      <c r="AD157" s="75"/>
      <c r="AE157" s="75"/>
      <c r="AF157" s="75"/>
      <c r="AG157" s="75"/>
      <c r="AH157" s="75"/>
      <c r="AI157" s="75"/>
      <c r="AJ157" s="12"/>
    </row>
    <row r="158" ht="19.5" customHeight="1">
      <c r="A158" s="72"/>
      <c r="B158" s="73"/>
      <c r="C158" s="73"/>
      <c r="D158" s="73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73"/>
      <c r="Q158" s="73"/>
      <c r="R158" s="73"/>
      <c r="S158" s="73"/>
      <c r="T158" s="73"/>
      <c r="U158" s="73"/>
      <c r="V158" s="73"/>
      <c r="W158" s="74"/>
      <c r="X158" s="74"/>
      <c r="Y158" s="75"/>
      <c r="Z158" s="75"/>
      <c r="AA158" s="75"/>
      <c r="AB158" s="75"/>
      <c r="AC158" s="75"/>
      <c r="AD158" s="75"/>
      <c r="AE158" s="75"/>
      <c r="AF158" s="75"/>
      <c r="AG158" s="75"/>
      <c r="AH158" s="75"/>
      <c r="AI158" s="75"/>
      <c r="AJ158" s="12"/>
    </row>
    <row r="159" ht="19.5" customHeight="1">
      <c r="A159" s="72"/>
      <c r="B159" s="73"/>
      <c r="C159" s="73"/>
      <c r="D159" s="73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73"/>
      <c r="Q159" s="73"/>
      <c r="R159" s="73"/>
      <c r="S159" s="73"/>
      <c r="T159" s="73"/>
      <c r="U159" s="73"/>
      <c r="V159" s="73"/>
      <c r="W159" s="74"/>
      <c r="X159" s="74"/>
      <c r="Y159" s="75"/>
      <c r="Z159" s="75"/>
      <c r="AA159" s="75"/>
      <c r="AB159" s="75"/>
      <c r="AC159" s="75"/>
      <c r="AD159" s="75"/>
      <c r="AE159" s="75"/>
      <c r="AF159" s="75"/>
      <c r="AG159" s="75"/>
      <c r="AH159" s="75"/>
      <c r="AI159" s="75"/>
      <c r="AJ159" s="12"/>
    </row>
    <row r="160" ht="19.5" customHeight="1">
      <c r="A160" s="72"/>
      <c r="B160" s="73"/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4"/>
      <c r="X160" s="74"/>
      <c r="Y160" s="75"/>
      <c r="Z160" s="75"/>
      <c r="AA160" s="75"/>
      <c r="AB160" s="75"/>
      <c r="AC160" s="75"/>
      <c r="AD160" s="75"/>
      <c r="AE160" s="75"/>
      <c r="AF160" s="75"/>
      <c r="AG160" s="75"/>
      <c r="AH160" s="75"/>
      <c r="AI160" s="75"/>
      <c r="AJ160" s="12"/>
    </row>
    <row r="161" ht="19.5" customHeight="1">
      <c r="A161" s="72"/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4"/>
      <c r="X161" s="74"/>
      <c r="Y161" s="75"/>
      <c r="Z161" s="75"/>
      <c r="AA161" s="75"/>
      <c r="AB161" s="75"/>
      <c r="AC161" s="75"/>
      <c r="AD161" s="75"/>
      <c r="AE161" s="75"/>
      <c r="AF161" s="75"/>
      <c r="AG161" s="75"/>
      <c r="AH161" s="75"/>
      <c r="AI161" s="75"/>
      <c r="AJ161" s="12"/>
    </row>
    <row r="162" ht="19.5" customHeight="1">
      <c r="A162" s="72"/>
      <c r="B162" s="73"/>
      <c r="C162" s="73"/>
      <c r="D162" s="73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73"/>
      <c r="Q162" s="73"/>
      <c r="R162" s="73"/>
      <c r="S162" s="73"/>
      <c r="T162" s="73"/>
      <c r="U162" s="73"/>
      <c r="V162" s="73"/>
      <c r="W162" s="74"/>
      <c r="X162" s="74"/>
      <c r="Y162" s="75"/>
      <c r="Z162" s="75"/>
      <c r="AA162" s="75"/>
      <c r="AB162" s="75"/>
      <c r="AC162" s="75"/>
      <c r="AD162" s="75"/>
      <c r="AE162" s="75"/>
      <c r="AF162" s="75"/>
      <c r="AG162" s="75"/>
      <c r="AH162" s="75"/>
      <c r="AI162" s="75"/>
      <c r="AJ162" s="12"/>
    </row>
    <row r="163" ht="19.5" customHeight="1">
      <c r="A163" s="72"/>
      <c r="B163" s="73"/>
      <c r="C163" s="73"/>
      <c r="D163" s="73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73"/>
      <c r="Q163" s="73"/>
      <c r="R163" s="73"/>
      <c r="S163" s="73"/>
      <c r="T163" s="73"/>
      <c r="U163" s="73"/>
      <c r="V163" s="73"/>
      <c r="W163" s="74"/>
      <c r="X163" s="74"/>
      <c r="Y163" s="75"/>
      <c r="Z163" s="75"/>
      <c r="AA163" s="75"/>
      <c r="AB163" s="75"/>
      <c r="AC163" s="75"/>
      <c r="AD163" s="75"/>
      <c r="AE163" s="75"/>
      <c r="AF163" s="75"/>
      <c r="AG163" s="75"/>
      <c r="AH163" s="75"/>
      <c r="AI163" s="75"/>
      <c r="AJ163" s="12"/>
    </row>
    <row r="164" ht="19.5" customHeight="1">
      <c r="A164" s="72"/>
      <c r="B164" s="73"/>
      <c r="C164" s="73"/>
      <c r="D164" s="73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73"/>
      <c r="Q164" s="73"/>
      <c r="R164" s="73"/>
      <c r="S164" s="73"/>
      <c r="T164" s="73"/>
      <c r="U164" s="73"/>
      <c r="V164" s="73"/>
      <c r="W164" s="74"/>
      <c r="X164" s="74"/>
      <c r="Y164" s="75"/>
      <c r="Z164" s="75"/>
      <c r="AA164" s="75"/>
      <c r="AB164" s="75"/>
      <c r="AC164" s="75"/>
      <c r="AD164" s="75"/>
      <c r="AE164" s="75"/>
      <c r="AF164" s="75"/>
      <c r="AG164" s="75"/>
      <c r="AH164" s="75"/>
      <c r="AI164" s="75"/>
      <c r="AJ164" s="12"/>
    </row>
    <row r="165" ht="19.5" customHeight="1">
      <c r="A165" s="72"/>
      <c r="B165" s="73"/>
      <c r="C165" s="73"/>
      <c r="D165" s="73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73"/>
      <c r="Q165" s="73"/>
      <c r="R165" s="73"/>
      <c r="S165" s="73"/>
      <c r="T165" s="73"/>
      <c r="U165" s="73"/>
      <c r="V165" s="73"/>
      <c r="W165" s="74"/>
      <c r="X165" s="74"/>
      <c r="Y165" s="75"/>
      <c r="Z165" s="75"/>
      <c r="AA165" s="75"/>
      <c r="AB165" s="75"/>
      <c r="AC165" s="75"/>
      <c r="AD165" s="75"/>
      <c r="AE165" s="75"/>
      <c r="AF165" s="75"/>
      <c r="AG165" s="75"/>
      <c r="AH165" s="75"/>
      <c r="AI165" s="75"/>
      <c r="AJ165" s="12"/>
    </row>
    <row r="166" ht="19.5" customHeight="1">
      <c r="A166" s="72"/>
      <c r="B166" s="73"/>
      <c r="C166" s="73"/>
      <c r="D166" s="73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73"/>
      <c r="Q166" s="73"/>
      <c r="R166" s="73"/>
      <c r="S166" s="73"/>
      <c r="T166" s="73"/>
      <c r="U166" s="73"/>
      <c r="V166" s="73"/>
      <c r="W166" s="74"/>
      <c r="X166" s="74"/>
      <c r="Y166" s="75"/>
      <c r="Z166" s="75"/>
      <c r="AA166" s="75"/>
      <c r="AB166" s="75"/>
      <c r="AC166" s="75"/>
      <c r="AD166" s="75"/>
      <c r="AE166" s="75"/>
      <c r="AF166" s="75"/>
      <c r="AG166" s="75"/>
      <c r="AH166" s="75"/>
      <c r="AI166" s="75"/>
      <c r="AJ166" s="12"/>
    </row>
    <row r="167" ht="19.5" customHeight="1">
      <c r="A167" s="72"/>
      <c r="B167" s="73"/>
      <c r="C167" s="73"/>
      <c r="D167" s="73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73"/>
      <c r="Q167" s="73"/>
      <c r="R167" s="73"/>
      <c r="S167" s="73"/>
      <c r="T167" s="73"/>
      <c r="U167" s="73"/>
      <c r="V167" s="73"/>
      <c r="W167" s="74"/>
      <c r="X167" s="74"/>
      <c r="Y167" s="75"/>
      <c r="Z167" s="75"/>
      <c r="AA167" s="75"/>
      <c r="AB167" s="75"/>
      <c r="AC167" s="75"/>
      <c r="AD167" s="75"/>
      <c r="AE167" s="75"/>
      <c r="AF167" s="75"/>
      <c r="AG167" s="75"/>
      <c r="AH167" s="75"/>
      <c r="AI167" s="75"/>
      <c r="AJ167" s="12"/>
    </row>
    <row r="168" ht="19.5" customHeight="1">
      <c r="A168" s="72"/>
      <c r="B168" s="73"/>
      <c r="C168" s="73"/>
      <c r="D168" s="73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73"/>
      <c r="Q168" s="73"/>
      <c r="R168" s="73"/>
      <c r="S168" s="73"/>
      <c r="T168" s="73"/>
      <c r="U168" s="73"/>
      <c r="V168" s="73"/>
      <c r="W168" s="74"/>
      <c r="X168" s="74"/>
      <c r="Y168" s="75"/>
      <c r="Z168" s="75"/>
      <c r="AA168" s="75"/>
      <c r="AB168" s="75"/>
      <c r="AC168" s="75"/>
      <c r="AD168" s="75"/>
      <c r="AE168" s="75"/>
      <c r="AF168" s="75"/>
      <c r="AG168" s="75"/>
      <c r="AH168" s="75"/>
      <c r="AI168" s="75"/>
      <c r="AJ168" s="12"/>
    </row>
    <row r="169" ht="19.5" customHeight="1">
      <c r="A169" s="72"/>
      <c r="B169" s="73"/>
      <c r="C169" s="73"/>
      <c r="D169" s="73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73"/>
      <c r="Q169" s="73"/>
      <c r="R169" s="73"/>
      <c r="S169" s="73"/>
      <c r="T169" s="73"/>
      <c r="U169" s="73"/>
      <c r="V169" s="73"/>
      <c r="W169" s="74"/>
      <c r="X169" s="74"/>
      <c r="Y169" s="75"/>
      <c r="Z169" s="75"/>
      <c r="AA169" s="75"/>
      <c r="AB169" s="75"/>
      <c r="AC169" s="75"/>
      <c r="AD169" s="75"/>
      <c r="AE169" s="75"/>
      <c r="AF169" s="75"/>
      <c r="AG169" s="75"/>
      <c r="AH169" s="75"/>
      <c r="AI169" s="75"/>
      <c r="AJ169" s="12"/>
    </row>
    <row r="170" ht="19.5" customHeight="1">
      <c r="A170" s="72"/>
      <c r="B170" s="73"/>
      <c r="C170" s="73"/>
      <c r="D170" s="73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73"/>
      <c r="Q170" s="73"/>
      <c r="R170" s="73"/>
      <c r="S170" s="73"/>
      <c r="T170" s="73"/>
      <c r="U170" s="73"/>
      <c r="V170" s="73"/>
      <c r="W170" s="74"/>
      <c r="X170" s="74"/>
      <c r="Y170" s="75"/>
      <c r="Z170" s="75"/>
      <c r="AA170" s="75"/>
      <c r="AB170" s="75"/>
      <c r="AC170" s="75"/>
      <c r="AD170" s="75"/>
      <c r="AE170" s="75"/>
      <c r="AF170" s="75"/>
      <c r="AG170" s="75"/>
      <c r="AH170" s="75"/>
      <c r="AI170" s="75"/>
      <c r="AJ170" s="12"/>
    </row>
    <row r="171" ht="19.5" customHeight="1">
      <c r="A171" s="72"/>
      <c r="B171" s="73"/>
      <c r="C171" s="73"/>
      <c r="D171" s="73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73"/>
      <c r="Q171" s="73"/>
      <c r="R171" s="73"/>
      <c r="S171" s="73"/>
      <c r="T171" s="73"/>
      <c r="U171" s="73"/>
      <c r="V171" s="73"/>
      <c r="W171" s="74"/>
      <c r="X171" s="74"/>
      <c r="Y171" s="75"/>
      <c r="Z171" s="75"/>
      <c r="AA171" s="75"/>
      <c r="AB171" s="75"/>
      <c r="AC171" s="75"/>
      <c r="AD171" s="75"/>
      <c r="AE171" s="75"/>
      <c r="AF171" s="75"/>
      <c r="AG171" s="75"/>
      <c r="AH171" s="75"/>
      <c r="AI171" s="75"/>
      <c r="AJ171" s="12"/>
    </row>
    <row r="172" ht="19.5" customHeight="1">
      <c r="A172" s="72"/>
      <c r="B172" s="73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73"/>
      <c r="Q172" s="73"/>
      <c r="R172" s="73"/>
      <c r="S172" s="73"/>
      <c r="T172" s="73"/>
      <c r="U172" s="73"/>
      <c r="V172" s="73"/>
      <c r="W172" s="74"/>
      <c r="X172" s="74"/>
      <c r="Y172" s="75"/>
      <c r="Z172" s="75"/>
      <c r="AA172" s="75"/>
      <c r="AB172" s="75"/>
      <c r="AC172" s="75"/>
      <c r="AD172" s="75"/>
      <c r="AE172" s="75"/>
      <c r="AF172" s="75"/>
      <c r="AG172" s="75"/>
      <c r="AH172" s="75"/>
      <c r="AI172" s="75"/>
      <c r="AJ172" s="12"/>
    </row>
    <row r="173" ht="19.5" customHeight="1">
      <c r="A173" s="72"/>
      <c r="B173" s="73"/>
      <c r="C173" s="73"/>
      <c r="D173" s="73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73"/>
      <c r="Q173" s="73"/>
      <c r="R173" s="73"/>
      <c r="S173" s="73"/>
      <c r="T173" s="73"/>
      <c r="U173" s="73"/>
      <c r="V173" s="73"/>
      <c r="W173" s="74"/>
      <c r="X173" s="74"/>
      <c r="Y173" s="75"/>
      <c r="Z173" s="75"/>
      <c r="AA173" s="75"/>
      <c r="AB173" s="75"/>
      <c r="AC173" s="75"/>
      <c r="AD173" s="75"/>
      <c r="AE173" s="75"/>
      <c r="AF173" s="75"/>
      <c r="AG173" s="75"/>
      <c r="AH173" s="75"/>
      <c r="AI173" s="75"/>
      <c r="AJ173" s="12"/>
    </row>
    <row r="174" ht="19.5" customHeight="1">
      <c r="A174" s="72"/>
      <c r="B174" s="73"/>
      <c r="C174" s="73"/>
      <c r="D174" s="73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73"/>
      <c r="Q174" s="73"/>
      <c r="R174" s="73"/>
      <c r="S174" s="73"/>
      <c r="T174" s="73"/>
      <c r="U174" s="73"/>
      <c r="V174" s="73"/>
      <c r="W174" s="74"/>
      <c r="X174" s="74"/>
      <c r="Y174" s="75"/>
      <c r="Z174" s="75"/>
      <c r="AA174" s="75"/>
      <c r="AB174" s="75"/>
      <c r="AC174" s="75"/>
      <c r="AD174" s="75"/>
      <c r="AE174" s="75"/>
      <c r="AF174" s="75"/>
      <c r="AG174" s="75"/>
      <c r="AH174" s="75"/>
      <c r="AI174" s="75"/>
      <c r="AJ174" s="12"/>
    </row>
    <row r="175" ht="19.5" customHeight="1">
      <c r="A175" s="72"/>
      <c r="B175" s="73"/>
      <c r="C175" s="73"/>
      <c r="D175" s="73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73"/>
      <c r="Q175" s="73"/>
      <c r="R175" s="73"/>
      <c r="S175" s="73"/>
      <c r="T175" s="73"/>
      <c r="U175" s="73"/>
      <c r="V175" s="73"/>
      <c r="W175" s="74"/>
      <c r="X175" s="74"/>
      <c r="Y175" s="75"/>
      <c r="Z175" s="75"/>
      <c r="AA175" s="75"/>
      <c r="AB175" s="75"/>
      <c r="AC175" s="75"/>
      <c r="AD175" s="75"/>
      <c r="AE175" s="75"/>
      <c r="AF175" s="75"/>
      <c r="AG175" s="75"/>
      <c r="AH175" s="75"/>
      <c r="AI175" s="75"/>
      <c r="AJ175" s="12"/>
    </row>
    <row r="176" ht="19.5" customHeight="1">
      <c r="A176" s="72"/>
      <c r="B176" s="73"/>
      <c r="C176" s="73"/>
      <c r="D176" s="73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73"/>
      <c r="Q176" s="73"/>
      <c r="R176" s="73"/>
      <c r="S176" s="73"/>
      <c r="T176" s="73"/>
      <c r="U176" s="73"/>
      <c r="V176" s="73"/>
      <c r="W176" s="74"/>
      <c r="X176" s="74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12"/>
    </row>
    <row r="177" ht="19.5" customHeight="1">
      <c r="A177" s="72"/>
      <c r="B177" s="73"/>
      <c r="C177" s="73"/>
      <c r="D177" s="73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73"/>
      <c r="Q177" s="73"/>
      <c r="R177" s="73"/>
      <c r="S177" s="73"/>
      <c r="T177" s="73"/>
      <c r="U177" s="73"/>
      <c r="V177" s="73"/>
      <c r="W177" s="74"/>
      <c r="X177" s="74"/>
      <c r="Y177" s="75"/>
      <c r="Z177" s="75"/>
      <c r="AA177" s="75"/>
      <c r="AB177" s="75"/>
      <c r="AC177" s="75"/>
      <c r="AD177" s="75"/>
      <c r="AE177" s="75"/>
      <c r="AF177" s="75"/>
      <c r="AG177" s="75"/>
      <c r="AH177" s="75"/>
      <c r="AI177" s="75"/>
      <c r="AJ177" s="12"/>
    </row>
    <row r="178" ht="19.5" customHeight="1">
      <c r="A178" s="72"/>
      <c r="B178" s="73"/>
      <c r="C178" s="73"/>
      <c r="D178" s="73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73"/>
      <c r="Q178" s="73"/>
      <c r="R178" s="73"/>
      <c r="S178" s="73"/>
      <c r="T178" s="73"/>
      <c r="U178" s="73"/>
      <c r="V178" s="73"/>
      <c r="W178" s="74"/>
      <c r="X178" s="74"/>
      <c r="Y178" s="75"/>
      <c r="Z178" s="75"/>
      <c r="AA178" s="75"/>
      <c r="AB178" s="75"/>
      <c r="AC178" s="75"/>
      <c r="AD178" s="75"/>
      <c r="AE178" s="75"/>
      <c r="AF178" s="75"/>
      <c r="AG178" s="75"/>
      <c r="AH178" s="75"/>
      <c r="AI178" s="75"/>
      <c r="AJ178" s="12"/>
    </row>
    <row r="179" ht="19.5" customHeight="1">
      <c r="A179" s="72"/>
      <c r="B179" s="73"/>
      <c r="C179" s="73"/>
      <c r="D179" s="73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73"/>
      <c r="Q179" s="73"/>
      <c r="R179" s="73"/>
      <c r="S179" s="73"/>
      <c r="T179" s="73"/>
      <c r="U179" s="73"/>
      <c r="V179" s="73"/>
      <c r="W179" s="74"/>
      <c r="X179" s="74"/>
      <c r="Y179" s="75"/>
      <c r="Z179" s="75"/>
      <c r="AA179" s="75"/>
      <c r="AB179" s="75"/>
      <c r="AC179" s="75"/>
      <c r="AD179" s="75"/>
      <c r="AE179" s="75"/>
      <c r="AF179" s="75"/>
      <c r="AG179" s="75"/>
      <c r="AH179" s="75"/>
      <c r="AI179" s="75"/>
      <c r="AJ179" s="12"/>
    </row>
    <row r="180" ht="19.5" customHeight="1">
      <c r="A180" s="72"/>
      <c r="B180" s="73"/>
      <c r="C180" s="73"/>
      <c r="D180" s="73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73"/>
      <c r="Q180" s="73"/>
      <c r="R180" s="73"/>
      <c r="S180" s="73"/>
      <c r="T180" s="73"/>
      <c r="U180" s="73"/>
      <c r="V180" s="73"/>
      <c r="W180" s="74"/>
      <c r="X180" s="74"/>
      <c r="Y180" s="75"/>
      <c r="Z180" s="75"/>
      <c r="AA180" s="75"/>
      <c r="AB180" s="75"/>
      <c r="AC180" s="75"/>
      <c r="AD180" s="75"/>
      <c r="AE180" s="75"/>
      <c r="AF180" s="75"/>
      <c r="AG180" s="75"/>
      <c r="AH180" s="75"/>
      <c r="AI180" s="75"/>
      <c r="AJ180" s="12"/>
    </row>
    <row r="181" ht="19.5" customHeight="1">
      <c r="A181" s="72"/>
      <c r="B181" s="73"/>
      <c r="C181" s="73"/>
      <c r="D181" s="73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73"/>
      <c r="Q181" s="73"/>
      <c r="R181" s="73"/>
      <c r="S181" s="73"/>
      <c r="T181" s="73"/>
      <c r="U181" s="73"/>
      <c r="V181" s="73"/>
      <c r="W181" s="74"/>
      <c r="X181" s="74"/>
      <c r="Y181" s="75"/>
      <c r="Z181" s="75"/>
      <c r="AA181" s="75"/>
      <c r="AB181" s="75"/>
      <c r="AC181" s="75"/>
      <c r="AD181" s="75"/>
      <c r="AE181" s="75"/>
      <c r="AF181" s="75"/>
      <c r="AG181" s="75"/>
      <c r="AH181" s="75"/>
      <c r="AI181" s="75"/>
      <c r="AJ181" s="12"/>
    </row>
    <row r="182" ht="19.5" customHeight="1">
      <c r="A182" s="72"/>
      <c r="B182" s="73"/>
      <c r="C182" s="73"/>
      <c r="D182" s="73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73"/>
      <c r="Q182" s="73"/>
      <c r="R182" s="73"/>
      <c r="S182" s="73"/>
      <c r="T182" s="73"/>
      <c r="U182" s="73"/>
      <c r="V182" s="73"/>
      <c r="W182" s="74"/>
      <c r="X182" s="74"/>
      <c r="Y182" s="75"/>
      <c r="Z182" s="75"/>
      <c r="AA182" s="75"/>
      <c r="AB182" s="75"/>
      <c r="AC182" s="75"/>
      <c r="AD182" s="75"/>
      <c r="AE182" s="75"/>
      <c r="AF182" s="75"/>
      <c r="AG182" s="75"/>
      <c r="AH182" s="75"/>
      <c r="AI182" s="75"/>
      <c r="AJ182" s="12"/>
    </row>
    <row r="183" ht="19.5" customHeight="1">
      <c r="A183" s="72"/>
      <c r="B183" s="73"/>
      <c r="C183" s="73"/>
      <c r="D183" s="73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73"/>
      <c r="Q183" s="73"/>
      <c r="R183" s="73"/>
      <c r="S183" s="73"/>
      <c r="T183" s="73"/>
      <c r="U183" s="73"/>
      <c r="V183" s="73"/>
      <c r="W183" s="74"/>
      <c r="X183" s="74"/>
      <c r="Y183" s="75"/>
      <c r="Z183" s="75"/>
      <c r="AA183" s="75"/>
      <c r="AB183" s="75"/>
      <c r="AC183" s="75"/>
      <c r="AD183" s="75"/>
      <c r="AE183" s="75"/>
      <c r="AF183" s="75"/>
      <c r="AG183" s="75"/>
      <c r="AH183" s="75"/>
      <c r="AI183" s="75"/>
      <c r="AJ183" s="12"/>
    </row>
    <row r="184" ht="19.5" customHeight="1">
      <c r="A184" s="72"/>
      <c r="B184" s="73"/>
      <c r="C184" s="73"/>
      <c r="D184" s="73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73"/>
      <c r="Q184" s="73"/>
      <c r="R184" s="73"/>
      <c r="S184" s="73"/>
      <c r="T184" s="73"/>
      <c r="U184" s="73"/>
      <c r="V184" s="73"/>
      <c r="W184" s="74"/>
      <c r="X184" s="74"/>
      <c r="Y184" s="75"/>
      <c r="Z184" s="75"/>
      <c r="AA184" s="75"/>
      <c r="AB184" s="75"/>
      <c r="AC184" s="75"/>
      <c r="AD184" s="75"/>
      <c r="AE184" s="75"/>
      <c r="AF184" s="75"/>
      <c r="AG184" s="75"/>
      <c r="AH184" s="75"/>
      <c r="AI184" s="75"/>
      <c r="AJ184" s="12"/>
    </row>
    <row r="185" ht="19.5" customHeight="1">
      <c r="A185" s="72"/>
      <c r="B185" s="73"/>
      <c r="C185" s="73"/>
      <c r="D185" s="73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73"/>
      <c r="Q185" s="73"/>
      <c r="R185" s="73"/>
      <c r="S185" s="73"/>
      <c r="T185" s="73"/>
      <c r="U185" s="73"/>
      <c r="V185" s="73"/>
      <c r="W185" s="74"/>
      <c r="X185" s="74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12"/>
    </row>
    <row r="186" ht="19.5" customHeight="1">
      <c r="A186" s="72"/>
      <c r="B186" s="73"/>
      <c r="C186" s="73"/>
      <c r="D186" s="73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73"/>
      <c r="Q186" s="73"/>
      <c r="R186" s="73"/>
      <c r="S186" s="73"/>
      <c r="T186" s="73"/>
      <c r="U186" s="73"/>
      <c r="V186" s="73"/>
      <c r="W186" s="74"/>
      <c r="X186" s="74"/>
      <c r="Y186" s="75"/>
      <c r="Z186" s="75"/>
      <c r="AA186" s="75"/>
      <c r="AB186" s="75"/>
      <c r="AC186" s="75"/>
      <c r="AD186" s="75"/>
      <c r="AE186" s="75"/>
      <c r="AF186" s="75"/>
      <c r="AG186" s="75"/>
      <c r="AH186" s="75"/>
      <c r="AI186" s="75"/>
      <c r="AJ186" s="12"/>
    </row>
    <row r="187" ht="19.5" customHeight="1">
      <c r="A187" s="72"/>
      <c r="B187" s="73"/>
      <c r="C187" s="73"/>
      <c r="D187" s="73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73"/>
      <c r="Q187" s="73"/>
      <c r="R187" s="73"/>
      <c r="S187" s="73"/>
      <c r="T187" s="73"/>
      <c r="U187" s="73"/>
      <c r="V187" s="73"/>
      <c r="W187" s="74"/>
      <c r="X187" s="74"/>
      <c r="Y187" s="75"/>
      <c r="Z187" s="75"/>
      <c r="AA187" s="75"/>
      <c r="AB187" s="75"/>
      <c r="AC187" s="75"/>
      <c r="AD187" s="75"/>
      <c r="AE187" s="75"/>
      <c r="AF187" s="75"/>
      <c r="AG187" s="75"/>
      <c r="AH187" s="75"/>
      <c r="AI187" s="75"/>
      <c r="AJ187" s="12"/>
    </row>
    <row r="188" ht="19.5" customHeight="1">
      <c r="A188" s="72"/>
      <c r="B188" s="73"/>
      <c r="C188" s="73"/>
      <c r="D188" s="73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73"/>
      <c r="Q188" s="73"/>
      <c r="R188" s="73"/>
      <c r="S188" s="73"/>
      <c r="T188" s="73"/>
      <c r="U188" s="73"/>
      <c r="V188" s="73"/>
      <c r="W188" s="74"/>
      <c r="X188" s="74"/>
      <c r="Y188" s="75"/>
      <c r="Z188" s="75"/>
      <c r="AA188" s="75"/>
      <c r="AB188" s="75"/>
      <c r="AC188" s="75"/>
      <c r="AD188" s="75"/>
      <c r="AE188" s="75"/>
      <c r="AF188" s="75"/>
      <c r="AG188" s="75"/>
      <c r="AH188" s="75"/>
      <c r="AI188" s="75"/>
      <c r="AJ188" s="12"/>
    </row>
    <row r="189" ht="19.5" customHeight="1">
      <c r="A189" s="72"/>
      <c r="B189" s="73"/>
      <c r="C189" s="73"/>
      <c r="D189" s="73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73"/>
      <c r="Q189" s="73"/>
      <c r="R189" s="73"/>
      <c r="S189" s="73"/>
      <c r="T189" s="73"/>
      <c r="U189" s="73"/>
      <c r="V189" s="73"/>
      <c r="W189" s="74"/>
      <c r="X189" s="74"/>
      <c r="Y189" s="75"/>
      <c r="Z189" s="75"/>
      <c r="AA189" s="75"/>
      <c r="AB189" s="75"/>
      <c r="AC189" s="75"/>
      <c r="AD189" s="75"/>
      <c r="AE189" s="75"/>
      <c r="AF189" s="75"/>
      <c r="AG189" s="75"/>
      <c r="AH189" s="75"/>
      <c r="AI189" s="75"/>
      <c r="AJ189" s="12"/>
    </row>
    <row r="190" ht="19.5" customHeight="1">
      <c r="A190" s="72"/>
      <c r="B190" s="73"/>
      <c r="C190" s="73"/>
      <c r="D190" s="73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4"/>
      <c r="X190" s="74"/>
      <c r="Y190" s="75"/>
      <c r="Z190" s="75"/>
      <c r="AA190" s="75"/>
      <c r="AB190" s="75"/>
      <c r="AC190" s="75"/>
      <c r="AD190" s="75"/>
      <c r="AE190" s="75"/>
      <c r="AF190" s="75"/>
      <c r="AG190" s="75"/>
      <c r="AH190" s="75"/>
      <c r="AI190" s="75"/>
      <c r="AJ190" s="12"/>
    </row>
    <row r="191" ht="19.5" customHeight="1">
      <c r="A191" s="72"/>
      <c r="B191" s="73"/>
      <c r="C191" s="73"/>
      <c r="D191" s="73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73"/>
      <c r="Q191" s="73"/>
      <c r="R191" s="73"/>
      <c r="S191" s="73"/>
      <c r="T191" s="73"/>
      <c r="U191" s="73"/>
      <c r="V191" s="73"/>
      <c r="W191" s="74"/>
      <c r="X191" s="74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12"/>
    </row>
    <row r="192" ht="19.5" customHeight="1">
      <c r="A192" s="72"/>
      <c r="B192" s="73"/>
      <c r="C192" s="73"/>
      <c r="D192" s="73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73"/>
      <c r="Q192" s="73"/>
      <c r="R192" s="73"/>
      <c r="S192" s="73"/>
      <c r="T192" s="73"/>
      <c r="U192" s="73"/>
      <c r="V192" s="73"/>
      <c r="W192" s="74"/>
      <c r="X192" s="74"/>
      <c r="Y192" s="75"/>
      <c r="Z192" s="75"/>
      <c r="AA192" s="75"/>
      <c r="AB192" s="75"/>
      <c r="AC192" s="75"/>
      <c r="AD192" s="75"/>
      <c r="AE192" s="75"/>
      <c r="AF192" s="75"/>
      <c r="AG192" s="75"/>
      <c r="AH192" s="75"/>
      <c r="AI192" s="75"/>
      <c r="AJ192" s="12"/>
    </row>
    <row r="193" ht="19.5" customHeight="1">
      <c r="A193" s="72"/>
      <c r="B193" s="73"/>
      <c r="C193" s="73"/>
      <c r="D193" s="73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73"/>
      <c r="Q193" s="73"/>
      <c r="R193" s="73"/>
      <c r="S193" s="73"/>
      <c r="T193" s="73"/>
      <c r="U193" s="73"/>
      <c r="V193" s="73"/>
      <c r="W193" s="74"/>
      <c r="X193" s="74"/>
      <c r="Y193" s="75"/>
      <c r="Z193" s="75"/>
      <c r="AA193" s="75"/>
      <c r="AB193" s="75"/>
      <c r="AC193" s="75"/>
      <c r="AD193" s="75"/>
      <c r="AE193" s="75"/>
      <c r="AF193" s="75"/>
      <c r="AG193" s="75"/>
      <c r="AH193" s="75"/>
      <c r="AI193" s="75"/>
      <c r="AJ193" s="12"/>
    </row>
    <row r="194" ht="19.5" customHeight="1">
      <c r="A194" s="72"/>
      <c r="B194" s="73"/>
      <c r="C194" s="73"/>
      <c r="D194" s="73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73"/>
      <c r="Q194" s="73"/>
      <c r="R194" s="73"/>
      <c r="S194" s="73"/>
      <c r="T194" s="73"/>
      <c r="U194" s="73"/>
      <c r="V194" s="73"/>
      <c r="W194" s="74"/>
      <c r="X194" s="74"/>
      <c r="Y194" s="75"/>
      <c r="Z194" s="75"/>
      <c r="AA194" s="75"/>
      <c r="AB194" s="75"/>
      <c r="AC194" s="75"/>
      <c r="AD194" s="75"/>
      <c r="AE194" s="75"/>
      <c r="AF194" s="75"/>
      <c r="AG194" s="75"/>
      <c r="AH194" s="75"/>
      <c r="AI194" s="75"/>
      <c r="AJ194" s="12"/>
    </row>
    <row r="195" ht="19.5" customHeight="1">
      <c r="A195" s="72"/>
      <c r="B195" s="73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73"/>
      <c r="Q195" s="73"/>
      <c r="R195" s="73"/>
      <c r="S195" s="73"/>
      <c r="T195" s="73"/>
      <c r="U195" s="73"/>
      <c r="V195" s="73"/>
      <c r="W195" s="74"/>
      <c r="X195" s="74"/>
      <c r="Y195" s="75"/>
      <c r="Z195" s="75"/>
      <c r="AA195" s="75"/>
      <c r="AB195" s="75"/>
      <c r="AC195" s="75"/>
      <c r="AD195" s="75"/>
      <c r="AE195" s="75"/>
      <c r="AF195" s="75"/>
      <c r="AG195" s="75"/>
      <c r="AH195" s="75"/>
      <c r="AI195" s="75"/>
      <c r="AJ195" s="12"/>
    </row>
    <row r="196" ht="19.5" customHeight="1">
      <c r="A196" s="72"/>
      <c r="B196" s="73"/>
      <c r="C196" s="73"/>
      <c r="D196" s="73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73"/>
      <c r="Q196" s="73"/>
      <c r="R196" s="73"/>
      <c r="S196" s="73"/>
      <c r="T196" s="73"/>
      <c r="U196" s="73"/>
      <c r="V196" s="73"/>
      <c r="W196" s="74"/>
      <c r="X196" s="74"/>
      <c r="Y196" s="75"/>
      <c r="Z196" s="75"/>
      <c r="AA196" s="75"/>
      <c r="AB196" s="75"/>
      <c r="AC196" s="75"/>
      <c r="AD196" s="75"/>
      <c r="AE196" s="75"/>
      <c r="AF196" s="75"/>
      <c r="AG196" s="75"/>
      <c r="AH196" s="75"/>
      <c r="AI196" s="75"/>
      <c r="AJ196" s="12"/>
    </row>
    <row r="197" ht="19.5" customHeight="1">
      <c r="A197" s="72"/>
      <c r="B197" s="73"/>
      <c r="C197" s="73"/>
      <c r="D197" s="73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73"/>
      <c r="Q197" s="73"/>
      <c r="R197" s="73"/>
      <c r="S197" s="73"/>
      <c r="T197" s="73"/>
      <c r="U197" s="73"/>
      <c r="V197" s="73"/>
      <c r="W197" s="74"/>
      <c r="X197" s="74"/>
      <c r="Y197" s="75"/>
      <c r="Z197" s="75"/>
      <c r="AA197" s="75"/>
      <c r="AB197" s="75"/>
      <c r="AC197" s="75"/>
      <c r="AD197" s="75"/>
      <c r="AE197" s="75"/>
      <c r="AF197" s="75"/>
      <c r="AG197" s="75"/>
      <c r="AH197" s="75"/>
      <c r="AI197" s="75"/>
      <c r="AJ197" s="12"/>
    </row>
    <row r="198" ht="19.5" customHeight="1">
      <c r="A198" s="72"/>
      <c r="B198" s="73"/>
      <c r="C198" s="73"/>
      <c r="D198" s="73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73"/>
      <c r="Q198" s="73"/>
      <c r="R198" s="73"/>
      <c r="S198" s="73"/>
      <c r="T198" s="73"/>
      <c r="U198" s="73"/>
      <c r="V198" s="73"/>
      <c r="W198" s="74"/>
      <c r="X198" s="74"/>
      <c r="Y198" s="75"/>
      <c r="Z198" s="75"/>
      <c r="AA198" s="75"/>
      <c r="AB198" s="75"/>
      <c r="AC198" s="75"/>
      <c r="AD198" s="75"/>
      <c r="AE198" s="75"/>
      <c r="AF198" s="75"/>
      <c r="AG198" s="75"/>
      <c r="AH198" s="75"/>
      <c r="AI198" s="75"/>
      <c r="AJ198" s="12"/>
    </row>
    <row r="199" ht="19.5" customHeight="1">
      <c r="A199" s="72"/>
      <c r="B199" s="73"/>
      <c r="C199" s="73"/>
      <c r="D199" s="73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73"/>
      <c r="Q199" s="73"/>
      <c r="R199" s="73"/>
      <c r="S199" s="73"/>
      <c r="T199" s="73"/>
      <c r="U199" s="73"/>
      <c r="V199" s="73"/>
      <c r="W199" s="74"/>
      <c r="X199" s="74"/>
      <c r="Y199" s="75"/>
      <c r="Z199" s="75"/>
      <c r="AA199" s="75"/>
      <c r="AB199" s="75"/>
      <c r="AC199" s="75"/>
      <c r="AD199" s="75"/>
      <c r="AE199" s="75"/>
      <c r="AF199" s="75"/>
      <c r="AG199" s="75"/>
      <c r="AH199" s="75"/>
      <c r="AI199" s="75"/>
      <c r="AJ199" s="12"/>
    </row>
    <row r="200" ht="19.5" customHeight="1">
      <c r="A200" s="72"/>
      <c r="B200" s="73"/>
      <c r="C200" s="73"/>
      <c r="D200" s="73"/>
      <c r="E200" s="73"/>
      <c r="F200" s="73"/>
      <c r="G200" s="73"/>
      <c r="H200" s="73"/>
      <c r="I200" s="73"/>
      <c r="J200" s="73"/>
      <c r="K200" s="73"/>
      <c r="L200" s="73"/>
      <c r="M200" s="73"/>
      <c r="N200" s="73"/>
      <c r="O200" s="73"/>
      <c r="P200" s="73"/>
      <c r="Q200" s="73"/>
      <c r="R200" s="73"/>
      <c r="S200" s="73"/>
      <c r="T200" s="73"/>
      <c r="U200" s="73"/>
      <c r="V200" s="73"/>
      <c r="W200" s="74"/>
      <c r="X200" s="74"/>
      <c r="Y200" s="75"/>
      <c r="Z200" s="75"/>
      <c r="AA200" s="75"/>
      <c r="AB200" s="75"/>
      <c r="AC200" s="75"/>
      <c r="AD200" s="75"/>
      <c r="AE200" s="75"/>
      <c r="AF200" s="75"/>
      <c r="AG200" s="75"/>
      <c r="AH200" s="75"/>
      <c r="AI200" s="75"/>
      <c r="AJ200" s="12"/>
    </row>
    <row r="201" ht="19.5" customHeight="1">
      <c r="A201" s="72"/>
      <c r="B201" s="73"/>
      <c r="C201" s="73"/>
      <c r="D201" s="73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73"/>
      <c r="Q201" s="73"/>
      <c r="R201" s="73"/>
      <c r="S201" s="73"/>
      <c r="T201" s="73"/>
      <c r="U201" s="73"/>
      <c r="V201" s="73"/>
      <c r="W201" s="74"/>
      <c r="X201" s="74"/>
      <c r="Y201" s="75"/>
      <c r="Z201" s="75"/>
      <c r="AA201" s="75"/>
      <c r="AB201" s="75"/>
      <c r="AC201" s="75"/>
      <c r="AD201" s="75"/>
      <c r="AE201" s="75"/>
      <c r="AF201" s="75"/>
      <c r="AG201" s="75"/>
      <c r="AH201" s="75"/>
      <c r="AI201" s="75"/>
      <c r="AJ201" s="12"/>
    </row>
    <row r="202" ht="19.5" customHeight="1">
      <c r="A202" s="72"/>
      <c r="B202" s="73"/>
      <c r="C202" s="73"/>
      <c r="D202" s="73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73"/>
      <c r="Q202" s="73"/>
      <c r="R202" s="73"/>
      <c r="S202" s="73"/>
      <c r="T202" s="73"/>
      <c r="U202" s="73"/>
      <c r="V202" s="73"/>
      <c r="W202" s="74"/>
      <c r="X202" s="74"/>
      <c r="Y202" s="75"/>
      <c r="Z202" s="75"/>
      <c r="AA202" s="75"/>
      <c r="AB202" s="75"/>
      <c r="AC202" s="75"/>
      <c r="AD202" s="75"/>
      <c r="AE202" s="75"/>
      <c r="AF202" s="75"/>
      <c r="AG202" s="75"/>
      <c r="AH202" s="75"/>
      <c r="AI202" s="75"/>
      <c r="AJ202" s="12"/>
    </row>
    <row r="203" ht="19.5" customHeight="1">
      <c r="A203" s="72"/>
      <c r="B203" s="73"/>
      <c r="C203" s="73"/>
      <c r="D203" s="73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73"/>
      <c r="Q203" s="73"/>
      <c r="R203" s="73"/>
      <c r="S203" s="73"/>
      <c r="T203" s="73"/>
      <c r="U203" s="73"/>
      <c r="V203" s="73"/>
      <c r="W203" s="74"/>
      <c r="X203" s="74"/>
      <c r="Y203" s="75"/>
      <c r="Z203" s="75"/>
      <c r="AA203" s="75"/>
      <c r="AB203" s="75"/>
      <c r="AC203" s="75"/>
      <c r="AD203" s="75"/>
      <c r="AE203" s="75"/>
      <c r="AF203" s="75"/>
      <c r="AG203" s="75"/>
      <c r="AH203" s="75"/>
      <c r="AI203" s="75"/>
      <c r="AJ203" s="12"/>
    </row>
    <row r="204" ht="19.5" customHeight="1">
      <c r="A204" s="72"/>
      <c r="B204" s="73"/>
      <c r="C204" s="73"/>
      <c r="D204" s="73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3"/>
      <c r="T204" s="73"/>
      <c r="U204" s="73"/>
      <c r="V204" s="73"/>
      <c r="W204" s="74"/>
      <c r="X204" s="74"/>
      <c r="Y204" s="75"/>
      <c r="Z204" s="75"/>
      <c r="AA204" s="75"/>
      <c r="AB204" s="75"/>
      <c r="AC204" s="75"/>
      <c r="AD204" s="75"/>
      <c r="AE204" s="75"/>
      <c r="AF204" s="75"/>
      <c r="AG204" s="75"/>
      <c r="AH204" s="75"/>
      <c r="AI204" s="75"/>
      <c r="AJ204" s="12"/>
    </row>
    <row r="205" ht="19.5" customHeight="1">
      <c r="A205" s="72"/>
      <c r="B205" s="73"/>
      <c r="C205" s="73"/>
      <c r="D205" s="73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73"/>
      <c r="Q205" s="73"/>
      <c r="R205" s="73"/>
      <c r="S205" s="73"/>
      <c r="T205" s="73"/>
      <c r="U205" s="73"/>
      <c r="V205" s="73"/>
      <c r="W205" s="74"/>
      <c r="X205" s="74"/>
      <c r="Y205" s="75"/>
      <c r="Z205" s="75"/>
      <c r="AA205" s="75"/>
      <c r="AB205" s="75"/>
      <c r="AC205" s="75"/>
      <c r="AD205" s="75"/>
      <c r="AE205" s="75"/>
      <c r="AF205" s="75"/>
      <c r="AG205" s="75"/>
      <c r="AH205" s="75"/>
      <c r="AI205" s="75"/>
      <c r="AJ205" s="12"/>
    </row>
    <row r="206" ht="19.5" customHeight="1">
      <c r="A206" s="72"/>
      <c r="B206" s="73"/>
      <c r="C206" s="73"/>
      <c r="D206" s="73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73"/>
      <c r="Q206" s="73"/>
      <c r="R206" s="73"/>
      <c r="S206" s="73"/>
      <c r="T206" s="73"/>
      <c r="U206" s="73"/>
      <c r="V206" s="73"/>
      <c r="W206" s="74"/>
      <c r="X206" s="74"/>
      <c r="Y206" s="75"/>
      <c r="Z206" s="75"/>
      <c r="AA206" s="75"/>
      <c r="AB206" s="75"/>
      <c r="AC206" s="75"/>
      <c r="AD206" s="75"/>
      <c r="AE206" s="75"/>
      <c r="AF206" s="75"/>
      <c r="AG206" s="75"/>
      <c r="AH206" s="75"/>
      <c r="AI206" s="75"/>
      <c r="AJ206" s="12"/>
    </row>
    <row r="207" ht="19.5" customHeight="1">
      <c r="A207" s="72"/>
      <c r="B207" s="73"/>
      <c r="C207" s="73"/>
      <c r="D207" s="73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73"/>
      <c r="Q207" s="73"/>
      <c r="R207" s="73"/>
      <c r="S207" s="73"/>
      <c r="T207" s="73"/>
      <c r="U207" s="73"/>
      <c r="V207" s="73"/>
      <c r="W207" s="74"/>
      <c r="X207" s="74"/>
      <c r="Y207" s="75"/>
      <c r="Z207" s="75"/>
      <c r="AA207" s="75"/>
      <c r="AB207" s="75"/>
      <c r="AC207" s="75"/>
      <c r="AD207" s="75"/>
      <c r="AE207" s="75"/>
      <c r="AF207" s="75"/>
      <c r="AG207" s="75"/>
      <c r="AH207" s="75"/>
      <c r="AI207" s="75"/>
      <c r="AJ207" s="12"/>
    </row>
    <row r="208" ht="19.5" customHeight="1">
      <c r="A208" s="72"/>
      <c r="B208" s="73"/>
      <c r="C208" s="73"/>
      <c r="D208" s="73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73"/>
      <c r="Q208" s="73"/>
      <c r="R208" s="73"/>
      <c r="S208" s="73"/>
      <c r="T208" s="73"/>
      <c r="U208" s="73"/>
      <c r="V208" s="73"/>
      <c r="W208" s="74"/>
      <c r="X208" s="74"/>
      <c r="Y208" s="75"/>
      <c r="Z208" s="75"/>
      <c r="AA208" s="75"/>
      <c r="AB208" s="75"/>
      <c r="AC208" s="75"/>
      <c r="AD208" s="75"/>
      <c r="AE208" s="75"/>
      <c r="AF208" s="75"/>
      <c r="AG208" s="75"/>
      <c r="AH208" s="75"/>
      <c r="AI208" s="75"/>
      <c r="AJ208" s="12"/>
    </row>
    <row r="209" ht="19.5" customHeight="1">
      <c r="A209" s="72"/>
      <c r="B209" s="73"/>
      <c r="C209" s="73"/>
      <c r="D209" s="73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73"/>
      <c r="Q209" s="73"/>
      <c r="R209" s="73"/>
      <c r="S209" s="73"/>
      <c r="T209" s="73"/>
      <c r="U209" s="73"/>
      <c r="V209" s="73"/>
      <c r="W209" s="74"/>
      <c r="X209" s="74"/>
      <c r="Y209" s="75"/>
      <c r="Z209" s="75"/>
      <c r="AA209" s="75"/>
      <c r="AB209" s="75"/>
      <c r="AC209" s="75"/>
      <c r="AD209" s="75"/>
      <c r="AE209" s="75"/>
      <c r="AF209" s="75"/>
      <c r="AG209" s="75"/>
      <c r="AH209" s="75"/>
      <c r="AI209" s="75"/>
      <c r="AJ209" s="12"/>
    </row>
    <row r="210" ht="19.5" customHeight="1">
      <c r="A210" s="72"/>
      <c r="B210" s="73"/>
      <c r="C210" s="73"/>
      <c r="D210" s="73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73"/>
      <c r="Q210" s="73"/>
      <c r="R210" s="73"/>
      <c r="S210" s="73"/>
      <c r="T210" s="73"/>
      <c r="U210" s="73"/>
      <c r="V210" s="73"/>
      <c r="W210" s="74"/>
      <c r="X210" s="74"/>
      <c r="Y210" s="75"/>
      <c r="Z210" s="75"/>
      <c r="AA210" s="75"/>
      <c r="AB210" s="75"/>
      <c r="AC210" s="75"/>
      <c r="AD210" s="75"/>
      <c r="AE210" s="75"/>
      <c r="AF210" s="75"/>
      <c r="AG210" s="75"/>
      <c r="AH210" s="75"/>
      <c r="AI210" s="75"/>
      <c r="AJ210" s="12"/>
    </row>
    <row r="211" ht="19.5" customHeight="1">
      <c r="A211" s="72"/>
      <c r="B211" s="73"/>
      <c r="C211" s="73"/>
      <c r="D211" s="73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73"/>
      <c r="Q211" s="73"/>
      <c r="R211" s="73"/>
      <c r="S211" s="73"/>
      <c r="T211" s="73"/>
      <c r="U211" s="73"/>
      <c r="V211" s="73"/>
      <c r="W211" s="74"/>
      <c r="X211" s="74"/>
      <c r="Y211" s="75"/>
      <c r="Z211" s="75"/>
      <c r="AA211" s="75"/>
      <c r="AB211" s="75"/>
      <c r="AC211" s="75"/>
      <c r="AD211" s="75"/>
      <c r="AE211" s="75"/>
      <c r="AF211" s="75"/>
      <c r="AG211" s="75"/>
      <c r="AH211" s="75"/>
      <c r="AI211" s="75"/>
      <c r="AJ211" s="12"/>
    </row>
    <row r="212" ht="19.5" customHeight="1">
      <c r="A212" s="72"/>
      <c r="B212" s="73"/>
      <c r="C212" s="73"/>
      <c r="D212" s="73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73"/>
      <c r="Q212" s="73"/>
      <c r="R212" s="73"/>
      <c r="S212" s="73"/>
      <c r="T212" s="73"/>
      <c r="U212" s="73"/>
      <c r="V212" s="73"/>
      <c r="W212" s="74"/>
      <c r="X212" s="74"/>
      <c r="Y212" s="75"/>
      <c r="Z212" s="75"/>
      <c r="AA212" s="75"/>
      <c r="AB212" s="75"/>
      <c r="AC212" s="75"/>
      <c r="AD212" s="75"/>
      <c r="AE212" s="75"/>
      <c r="AF212" s="75"/>
      <c r="AG212" s="75"/>
      <c r="AH212" s="75"/>
      <c r="AI212" s="75"/>
      <c r="AJ212" s="12"/>
    </row>
    <row r="213" ht="19.5" customHeight="1">
      <c r="A213" s="72"/>
      <c r="B213" s="73"/>
      <c r="C213" s="73"/>
      <c r="D213" s="73"/>
      <c r="E213" s="73"/>
      <c r="F213" s="73"/>
      <c r="G213" s="73"/>
      <c r="H213" s="73"/>
      <c r="I213" s="73"/>
      <c r="J213" s="73"/>
      <c r="K213" s="73"/>
      <c r="L213" s="73"/>
      <c r="M213" s="73"/>
      <c r="N213" s="73"/>
      <c r="O213" s="73"/>
      <c r="P213" s="73"/>
      <c r="Q213" s="73"/>
      <c r="R213" s="73"/>
      <c r="S213" s="73"/>
      <c r="T213" s="73"/>
      <c r="U213" s="73"/>
      <c r="V213" s="73"/>
      <c r="W213" s="74"/>
      <c r="X213" s="74"/>
      <c r="Y213" s="75"/>
      <c r="Z213" s="75"/>
      <c r="AA213" s="75"/>
      <c r="AB213" s="75"/>
      <c r="AC213" s="75"/>
      <c r="AD213" s="75"/>
      <c r="AE213" s="75"/>
      <c r="AF213" s="75"/>
      <c r="AG213" s="75"/>
      <c r="AH213" s="75"/>
      <c r="AI213" s="75"/>
      <c r="AJ213" s="12"/>
    </row>
    <row r="214" ht="19.5" customHeight="1">
      <c r="A214" s="72"/>
      <c r="B214" s="73"/>
      <c r="C214" s="73"/>
      <c r="D214" s="73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73"/>
      <c r="Q214" s="73"/>
      <c r="R214" s="73"/>
      <c r="S214" s="73"/>
      <c r="T214" s="73"/>
      <c r="U214" s="73"/>
      <c r="V214" s="73"/>
      <c r="W214" s="74"/>
      <c r="X214" s="74"/>
      <c r="Y214" s="75"/>
      <c r="Z214" s="75"/>
      <c r="AA214" s="75"/>
      <c r="AB214" s="75"/>
      <c r="AC214" s="75"/>
      <c r="AD214" s="75"/>
      <c r="AE214" s="75"/>
      <c r="AF214" s="75"/>
      <c r="AG214" s="75"/>
      <c r="AH214" s="75"/>
      <c r="AI214" s="75"/>
      <c r="AJ214" s="12"/>
    </row>
    <row r="215" ht="19.5" customHeight="1">
      <c r="A215" s="72"/>
      <c r="B215" s="73"/>
      <c r="C215" s="73"/>
      <c r="D215" s="73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73"/>
      <c r="Q215" s="73"/>
      <c r="R215" s="73"/>
      <c r="S215" s="73"/>
      <c r="T215" s="73"/>
      <c r="U215" s="73"/>
      <c r="V215" s="73"/>
      <c r="W215" s="74"/>
      <c r="X215" s="74"/>
      <c r="Y215" s="75"/>
      <c r="Z215" s="75"/>
      <c r="AA215" s="75"/>
      <c r="AB215" s="75"/>
      <c r="AC215" s="75"/>
      <c r="AD215" s="75"/>
      <c r="AE215" s="75"/>
      <c r="AF215" s="75"/>
      <c r="AG215" s="75"/>
      <c r="AH215" s="75"/>
      <c r="AI215" s="75"/>
      <c r="AJ215" s="12"/>
    </row>
    <row r="216" ht="19.5" customHeight="1">
      <c r="A216" s="72"/>
      <c r="B216" s="73"/>
      <c r="C216" s="73"/>
      <c r="D216" s="73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73"/>
      <c r="Q216" s="73"/>
      <c r="R216" s="73"/>
      <c r="S216" s="73"/>
      <c r="T216" s="73"/>
      <c r="U216" s="73"/>
      <c r="V216" s="73"/>
      <c r="W216" s="74"/>
      <c r="X216" s="74"/>
      <c r="Y216" s="75"/>
      <c r="Z216" s="75"/>
      <c r="AA216" s="75"/>
      <c r="AB216" s="75"/>
      <c r="AC216" s="75"/>
      <c r="AD216" s="75"/>
      <c r="AE216" s="75"/>
      <c r="AF216" s="75"/>
      <c r="AG216" s="75"/>
      <c r="AH216" s="75"/>
      <c r="AI216" s="75"/>
      <c r="AJ216" s="12"/>
    </row>
    <row r="217" ht="19.5" customHeight="1">
      <c r="A217" s="72"/>
      <c r="B217" s="73"/>
      <c r="C217" s="73"/>
      <c r="D217" s="73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73"/>
      <c r="Q217" s="73"/>
      <c r="R217" s="73"/>
      <c r="S217" s="73"/>
      <c r="T217" s="73"/>
      <c r="U217" s="73"/>
      <c r="V217" s="73"/>
      <c r="W217" s="74"/>
      <c r="X217" s="74"/>
      <c r="Y217" s="75"/>
      <c r="Z217" s="75"/>
      <c r="AA217" s="75"/>
      <c r="AB217" s="75"/>
      <c r="AC217" s="75"/>
      <c r="AD217" s="75"/>
      <c r="AE217" s="75"/>
      <c r="AF217" s="75"/>
      <c r="AG217" s="75"/>
      <c r="AH217" s="75"/>
      <c r="AI217" s="75"/>
      <c r="AJ217" s="12"/>
    </row>
    <row r="218" ht="19.5" customHeight="1">
      <c r="A218" s="72"/>
      <c r="B218" s="73"/>
      <c r="C218" s="73"/>
      <c r="D218" s="73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73"/>
      <c r="Q218" s="73"/>
      <c r="R218" s="73"/>
      <c r="S218" s="73"/>
      <c r="T218" s="73"/>
      <c r="U218" s="73"/>
      <c r="V218" s="73"/>
      <c r="W218" s="74"/>
      <c r="X218" s="74"/>
      <c r="Y218" s="75"/>
      <c r="Z218" s="75"/>
      <c r="AA218" s="75"/>
      <c r="AB218" s="75"/>
      <c r="AC218" s="75"/>
      <c r="AD218" s="75"/>
      <c r="AE218" s="75"/>
      <c r="AF218" s="75"/>
      <c r="AG218" s="75"/>
      <c r="AH218" s="75"/>
      <c r="AI218" s="75"/>
      <c r="AJ218" s="12"/>
    </row>
    <row r="219" ht="19.5" customHeight="1">
      <c r="A219" s="72"/>
      <c r="B219" s="73"/>
      <c r="C219" s="73"/>
      <c r="D219" s="73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73"/>
      <c r="Q219" s="73"/>
      <c r="R219" s="73"/>
      <c r="S219" s="73"/>
      <c r="T219" s="73"/>
      <c r="U219" s="73"/>
      <c r="V219" s="73"/>
      <c r="W219" s="74"/>
      <c r="X219" s="74"/>
      <c r="Y219" s="75"/>
      <c r="Z219" s="75"/>
      <c r="AA219" s="75"/>
      <c r="AB219" s="75"/>
      <c r="AC219" s="75"/>
      <c r="AD219" s="75"/>
      <c r="AE219" s="75"/>
      <c r="AF219" s="75"/>
      <c r="AG219" s="75"/>
      <c r="AH219" s="75"/>
      <c r="AI219" s="75"/>
      <c r="AJ219" s="1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ht="19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ht="19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ht="19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ht="19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ht="19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ht="19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ht="19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ht="19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ht="19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ht="19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ht="19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</sheetData>
  <mergeCells count="79">
    <mergeCell ref="J10:M10"/>
    <mergeCell ref="O10:P10"/>
    <mergeCell ref="Q10:R10"/>
    <mergeCell ref="S10:T10"/>
    <mergeCell ref="U10:V10"/>
    <mergeCell ref="W10:X10"/>
    <mergeCell ref="Y10:AI10"/>
    <mergeCell ref="F10:I10"/>
    <mergeCell ref="F11:I11"/>
    <mergeCell ref="J11:M11"/>
    <mergeCell ref="O11:P11"/>
    <mergeCell ref="Q11:R11"/>
    <mergeCell ref="S11:T11"/>
    <mergeCell ref="U11:V11"/>
    <mergeCell ref="U12:V12"/>
    <mergeCell ref="W12:X12"/>
    <mergeCell ref="W11:X11"/>
    <mergeCell ref="Y11:AI11"/>
    <mergeCell ref="J12:M12"/>
    <mergeCell ref="O12:P12"/>
    <mergeCell ref="Q12:R12"/>
    <mergeCell ref="S12:T12"/>
    <mergeCell ref="Y12:AI12"/>
    <mergeCell ref="B13:E13"/>
    <mergeCell ref="B14:E14"/>
    <mergeCell ref="B15:E15"/>
    <mergeCell ref="A1:B2"/>
    <mergeCell ref="A4:E4"/>
    <mergeCell ref="A5:E5"/>
    <mergeCell ref="A6:E6"/>
    <mergeCell ref="B10:E10"/>
    <mergeCell ref="B11:E11"/>
    <mergeCell ref="B12:E12"/>
    <mergeCell ref="W13:X13"/>
    <mergeCell ref="Y13:AI13"/>
    <mergeCell ref="J14:M14"/>
    <mergeCell ref="O14:P14"/>
    <mergeCell ref="Q14:R14"/>
    <mergeCell ref="S14:T14"/>
    <mergeCell ref="U14:V14"/>
    <mergeCell ref="W14:X14"/>
    <mergeCell ref="Y14:AI14"/>
    <mergeCell ref="V2:AA2"/>
    <mergeCell ref="AB2:AD2"/>
    <mergeCell ref="F4:AI4"/>
    <mergeCell ref="F5:AI5"/>
    <mergeCell ref="C1:R2"/>
    <mergeCell ref="S1:U1"/>
    <mergeCell ref="AB1:AD1"/>
    <mergeCell ref="AE1:AI1"/>
    <mergeCell ref="AJ1:AJ9"/>
    <mergeCell ref="S2:U2"/>
    <mergeCell ref="AE2:AI2"/>
    <mergeCell ref="Y9:AI9"/>
    <mergeCell ref="U9:V9"/>
    <mergeCell ref="W9:X9"/>
    <mergeCell ref="F6:AI6"/>
    <mergeCell ref="B9:E9"/>
    <mergeCell ref="F9:I9"/>
    <mergeCell ref="J9:M9"/>
    <mergeCell ref="O9:P9"/>
    <mergeCell ref="Q9:R9"/>
    <mergeCell ref="S9:T9"/>
    <mergeCell ref="F12:I12"/>
    <mergeCell ref="F13:I13"/>
    <mergeCell ref="J13:M13"/>
    <mergeCell ref="O13:P13"/>
    <mergeCell ref="Q13:R13"/>
    <mergeCell ref="S13:T13"/>
    <mergeCell ref="U13:V13"/>
    <mergeCell ref="W15:X15"/>
    <mergeCell ref="Y15:AI15"/>
    <mergeCell ref="F14:I14"/>
    <mergeCell ref="F15:I15"/>
    <mergeCell ref="J15:M15"/>
    <mergeCell ref="O15:P15"/>
    <mergeCell ref="Q15:R15"/>
    <mergeCell ref="S15:T15"/>
    <mergeCell ref="U15:V15"/>
  </mergeCells>
  <conditionalFormatting sqref="O10:P15">
    <cfRule type="expression" dxfId="0" priority="1">
      <formula>AND(N10="〇",$O10="")</formula>
    </cfRule>
  </conditionalFormatting>
  <dataValidations>
    <dataValidation type="list" allowBlank="1" showErrorMessage="1" sqref="S10:S15 U10:U15">
      <formula1>'プルダウン'!$A$2:$A$3</formula1>
    </dataValidation>
    <dataValidation type="list" allowBlank="1" showErrorMessage="1" sqref="J10:J15">
      <formula1>'データ型'!$C$3:$C$300</formula1>
    </dataValidation>
  </dataValidations>
  <hyperlinks>
    <hyperlink display="一覧に戻る" location="'テーブル一覧'!A1" ref="A8"/>
  </hyperlinks>
  <printOptions/>
  <pageMargins bottom="0.7500000000000001" footer="0.0" header="0.0" left="0.7000000000000001" right="0.7000000000000001" top="0.7500000000000001"/>
  <pageSetup paperSize="9" orientation="landscape"/>
  <headerFooter>
    <oddFooter>&amp;L000000Copyright© 2014 AEVIC ALL Rights Reserved.&amp;C000000&amp;P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4.56"/>
    <col customWidth="1" min="2" max="2" width="9.56"/>
    <col customWidth="1" min="3" max="3" width="13.22"/>
    <col customWidth="1" min="4" max="4" width="9.56"/>
    <col customWidth="1" min="5" max="5" width="35.22"/>
    <col customWidth="1" min="6" max="25" width="9.56"/>
    <col customWidth="1" min="26" max="26" width="8.78"/>
  </cols>
  <sheetData>
    <row r="1" ht="15.0" customHeight="1">
      <c r="A1" s="80" t="s">
        <v>82</v>
      </c>
      <c r="B1" s="81" t="s">
        <v>83</v>
      </c>
      <c r="C1" s="82"/>
      <c r="D1" s="82"/>
      <c r="E1" s="82"/>
      <c r="F1" s="82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0" customHeight="1">
      <c r="A2" s="84" t="s">
        <v>84</v>
      </c>
      <c r="B2" s="84" t="s">
        <v>85</v>
      </c>
      <c r="C2" s="84" t="s">
        <v>86</v>
      </c>
      <c r="D2" s="84" t="s">
        <v>87</v>
      </c>
      <c r="E2" s="84" t="s">
        <v>88</v>
      </c>
      <c r="F2" s="82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0" customHeight="1">
      <c r="A3" s="85">
        <f t="shared" ref="A3:A12" si="1">ROW()-2</f>
        <v>1</v>
      </c>
      <c r="B3" s="86" t="s">
        <v>89</v>
      </c>
      <c r="C3" s="86" t="s">
        <v>55</v>
      </c>
      <c r="D3" s="85" t="s">
        <v>41</v>
      </c>
      <c r="E3" s="87" t="s">
        <v>90</v>
      </c>
      <c r="F3" s="82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0" customHeight="1">
      <c r="A4" s="85">
        <f t="shared" si="1"/>
        <v>2</v>
      </c>
      <c r="B4" s="86" t="s">
        <v>89</v>
      </c>
      <c r="C4" s="86" t="s">
        <v>91</v>
      </c>
      <c r="D4" s="85" t="s">
        <v>41</v>
      </c>
      <c r="E4" s="87" t="s">
        <v>92</v>
      </c>
      <c r="F4" s="82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0" customHeight="1">
      <c r="A5" s="85">
        <f t="shared" si="1"/>
        <v>3</v>
      </c>
      <c r="B5" s="86" t="s">
        <v>93</v>
      </c>
      <c r="C5" s="86" t="s">
        <v>65</v>
      </c>
      <c r="D5" s="85"/>
      <c r="E5" s="87"/>
      <c r="F5" s="82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0" customHeight="1">
      <c r="A6" s="85">
        <f t="shared" si="1"/>
        <v>4</v>
      </c>
      <c r="B6" s="86" t="s">
        <v>94</v>
      </c>
      <c r="C6" s="86" t="s">
        <v>95</v>
      </c>
      <c r="D6" s="85"/>
      <c r="E6" s="87" t="s">
        <v>96</v>
      </c>
      <c r="F6" s="82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0" customHeight="1">
      <c r="A7" s="85">
        <f t="shared" si="1"/>
        <v>5</v>
      </c>
      <c r="B7" s="86" t="s">
        <v>94</v>
      </c>
      <c r="C7" s="86" t="s">
        <v>97</v>
      </c>
      <c r="D7" s="85" t="s">
        <v>41</v>
      </c>
      <c r="E7" s="87" t="s">
        <v>98</v>
      </c>
      <c r="F7" s="82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0" customHeight="1">
      <c r="A8" s="85">
        <f t="shared" si="1"/>
        <v>6</v>
      </c>
      <c r="B8" s="86" t="s">
        <v>99</v>
      </c>
      <c r="C8" s="86" t="s">
        <v>59</v>
      </c>
      <c r="D8" s="85"/>
      <c r="E8" s="87"/>
      <c r="F8" s="82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0" customHeight="1">
      <c r="A9" s="85">
        <f t="shared" si="1"/>
        <v>7</v>
      </c>
      <c r="B9" s="86" t="s">
        <v>100</v>
      </c>
      <c r="C9" s="86" t="s">
        <v>101</v>
      </c>
      <c r="D9" s="85"/>
      <c r="E9" s="87" t="s">
        <v>102</v>
      </c>
      <c r="F9" s="82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0" customHeight="1">
      <c r="A10" s="85">
        <f t="shared" si="1"/>
        <v>8</v>
      </c>
      <c r="B10" s="86" t="s">
        <v>89</v>
      </c>
      <c r="C10" s="86" t="s">
        <v>45</v>
      </c>
      <c r="D10" s="85"/>
      <c r="E10" s="87" t="s">
        <v>92</v>
      </c>
      <c r="F10" s="82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0" customHeight="1">
      <c r="A11" s="85">
        <f t="shared" si="1"/>
        <v>9</v>
      </c>
      <c r="B11" s="86" t="s">
        <v>103</v>
      </c>
      <c r="C11" s="86" t="s">
        <v>103</v>
      </c>
      <c r="D11" s="85"/>
      <c r="E11" s="87"/>
      <c r="F11" s="82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0" customHeight="1">
      <c r="A12" s="85">
        <f t="shared" si="1"/>
        <v>10</v>
      </c>
      <c r="B12" s="86" t="s">
        <v>94</v>
      </c>
      <c r="C12" s="86" t="s">
        <v>40</v>
      </c>
      <c r="D12" s="85"/>
      <c r="E12" s="87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0" customHeight="1">
      <c r="A13" s="88"/>
      <c r="B13" s="83"/>
      <c r="C13" s="83"/>
      <c r="D13" s="88"/>
      <c r="E13" s="89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0" customHeight="1">
      <c r="A14" s="88"/>
      <c r="B14" s="83"/>
      <c r="C14" s="83"/>
      <c r="D14" s="88"/>
      <c r="E14" s="89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0" customHeight="1">
      <c r="A15" s="88"/>
      <c r="B15" s="83"/>
      <c r="C15" s="83"/>
      <c r="D15" s="88"/>
      <c r="E15" s="89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0" customHeight="1">
      <c r="A16" s="88"/>
      <c r="B16" s="83"/>
      <c r="C16" s="83"/>
      <c r="D16" s="88"/>
      <c r="E16" s="89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0" customHeight="1">
      <c r="A17" s="88"/>
      <c r="B17" s="83"/>
      <c r="C17" s="83"/>
      <c r="D17" s="88"/>
      <c r="E17" s="89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0" customHeight="1">
      <c r="A18" s="88"/>
      <c r="B18" s="83"/>
      <c r="C18" s="83"/>
      <c r="D18" s="88"/>
      <c r="E18" s="89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0" customHeight="1">
      <c r="A19" s="88"/>
      <c r="B19" s="83"/>
      <c r="C19" s="83"/>
      <c r="D19" s="88"/>
      <c r="E19" s="89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0" customHeight="1">
      <c r="A20" s="88"/>
      <c r="B20" s="83"/>
      <c r="C20" s="83"/>
      <c r="D20" s="88"/>
      <c r="E20" s="89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0" customHeight="1">
      <c r="A21" s="88"/>
      <c r="B21" s="83"/>
      <c r="C21" s="83"/>
      <c r="D21" s="88"/>
      <c r="E21" s="89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0" customHeight="1">
      <c r="A22" s="88"/>
      <c r="B22" s="83"/>
      <c r="C22" s="83"/>
      <c r="D22" s="88"/>
      <c r="E22" s="89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0" customHeight="1">
      <c r="A23" s="88"/>
      <c r="B23" s="83"/>
      <c r="C23" s="83"/>
      <c r="D23" s="88"/>
      <c r="E23" s="89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0" customHeight="1">
      <c r="A24" s="88"/>
      <c r="B24" s="83"/>
      <c r="C24" s="83"/>
      <c r="D24" s="88"/>
      <c r="E24" s="89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0" customHeight="1">
      <c r="A25" s="88"/>
      <c r="B25" s="83"/>
      <c r="C25" s="83"/>
      <c r="D25" s="88"/>
      <c r="E25" s="89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0" customHeight="1">
      <c r="A26" s="88"/>
      <c r="B26" s="83"/>
      <c r="C26" s="83"/>
      <c r="D26" s="88"/>
      <c r="E26" s="89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0" customHeight="1">
      <c r="A27" s="88"/>
      <c r="B27" s="83"/>
      <c r="C27" s="83"/>
      <c r="D27" s="88"/>
      <c r="E27" s="89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8"/>
      <c r="B28" s="83"/>
      <c r="C28" s="83"/>
      <c r="D28" s="88"/>
      <c r="E28" s="89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8"/>
      <c r="B29" s="83"/>
      <c r="C29" s="83"/>
      <c r="D29" s="88"/>
      <c r="E29" s="89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8"/>
      <c r="B30" s="83"/>
      <c r="C30" s="83"/>
      <c r="D30" s="88"/>
      <c r="E30" s="89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8"/>
      <c r="B31" s="83"/>
      <c r="C31" s="83"/>
      <c r="D31" s="88"/>
      <c r="E31" s="89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8"/>
      <c r="B32" s="83"/>
      <c r="C32" s="83"/>
      <c r="D32" s="88"/>
      <c r="E32" s="89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88"/>
      <c r="B33" s="83"/>
      <c r="C33" s="83"/>
      <c r="D33" s="88"/>
      <c r="E33" s="89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88"/>
      <c r="B34" s="83"/>
      <c r="C34" s="83"/>
      <c r="D34" s="88"/>
      <c r="E34" s="89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88"/>
      <c r="B35" s="83"/>
      <c r="C35" s="83"/>
      <c r="D35" s="88"/>
      <c r="E35" s="89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88"/>
      <c r="B36" s="83"/>
      <c r="C36" s="83"/>
      <c r="D36" s="88"/>
      <c r="E36" s="89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8"/>
      <c r="B37" s="83"/>
      <c r="C37" s="83"/>
      <c r="D37" s="88"/>
      <c r="E37" s="89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8"/>
      <c r="B38" s="83"/>
      <c r="C38" s="83"/>
      <c r="D38" s="88"/>
      <c r="E38" s="89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8"/>
      <c r="B39" s="83"/>
      <c r="C39" s="83"/>
      <c r="D39" s="88"/>
      <c r="E39" s="89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8"/>
      <c r="B40" s="83"/>
      <c r="C40" s="83"/>
      <c r="D40" s="88"/>
      <c r="E40" s="89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8"/>
      <c r="B41" s="83"/>
      <c r="C41" s="83"/>
      <c r="D41" s="88"/>
      <c r="E41" s="89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8"/>
      <c r="B42" s="83"/>
      <c r="C42" s="83"/>
      <c r="D42" s="88"/>
      <c r="E42" s="89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8"/>
      <c r="B43" s="83"/>
      <c r="C43" s="83"/>
      <c r="D43" s="88"/>
      <c r="E43" s="89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8"/>
      <c r="B44" s="83"/>
      <c r="C44" s="83"/>
      <c r="D44" s="88"/>
      <c r="E44" s="89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8"/>
      <c r="B45" s="83"/>
      <c r="C45" s="83"/>
      <c r="D45" s="88"/>
      <c r="E45" s="89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8"/>
      <c r="B46" s="83"/>
      <c r="C46" s="83"/>
      <c r="D46" s="88"/>
      <c r="E46" s="89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8"/>
      <c r="B47" s="83"/>
      <c r="C47" s="83"/>
      <c r="D47" s="88"/>
      <c r="E47" s="89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8"/>
      <c r="B48" s="83"/>
      <c r="C48" s="83"/>
      <c r="D48" s="88"/>
      <c r="E48" s="89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8"/>
      <c r="B49" s="83"/>
      <c r="C49" s="83"/>
      <c r="D49" s="88"/>
      <c r="E49" s="89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8"/>
      <c r="B50" s="83"/>
      <c r="C50" s="83"/>
      <c r="D50" s="88"/>
      <c r="E50" s="89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8"/>
      <c r="B51" s="83"/>
      <c r="C51" s="83"/>
      <c r="D51" s="88"/>
      <c r="E51" s="89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8"/>
      <c r="B52" s="83"/>
      <c r="C52" s="83"/>
      <c r="D52" s="88"/>
      <c r="E52" s="89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8"/>
      <c r="B53" s="83"/>
      <c r="C53" s="83"/>
      <c r="D53" s="88"/>
      <c r="E53" s="89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8"/>
      <c r="B54" s="83"/>
      <c r="C54" s="83"/>
      <c r="D54" s="88"/>
      <c r="E54" s="89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8"/>
      <c r="B55" s="83"/>
      <c r="C55" s="83"/>
      <c r="D55" s="88"/>
      <c r="E55" s="89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8"/>
      <c r="B56" s="83"/>
      <c r="C56" s="83"/>
      <c r="D56" s="88"/>
      <c r="E56" s="89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8"/>
      <c r="B57" s="83"/>
      <c r="C57" s="83"/>
      <c r="D57" s="88"/>
      <c r="E57" s="89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8"/>
      <c r="B58" s="83"/>
      <c r="C58" s="83"/>
      <c r="D58" s="88"/>
      <c r="E58" s="89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8"/>
      <c r="B59" s="83"/>
      <c r="C59" s="83"/>
      <c r="D59" s="88"/>
      <c r="E59" s="89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8"/>
      <c r="B60" s="83"/>
      <c r="C60" s="83"/>
      <c r="D60" s="88"/>
      <c r="E60" s="89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8"/>
      <c r="B61" s="83"/>
      <c r="C61" s="83"/>
      <c r="D61" s="88"/>
      <c r="E61" s="89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8"/>
      <c r="B62" s="83"/>
      <c r="C62" s="83"/>
      <c r="D62" s="88"/>
      <c r="E62" s="89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8"/>
      <c r="B63" s="83"/>
      <c r="C63" s="83"/>
      <c r="D63" s="88"/>
      <c r="E63" s="89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8"/>
      <c r="B64" s="83"/>
      <c r="C64" s="83"/>
      <c r="D64" s="88"/>
      <c r="E64" s="89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8"/>
      <c r="B65" s="83"/>
      <c r="C65" s="83"/>
      <c r="D65" s="88"/>
      <c r="E65" s="89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8"/>
      <c r="B66" s="83"/>
      <c r="C66" s="83"/>
      <c r="D66" s="88"/>
      <c r="E66" s="89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8"/>
      <c r="B67" s="83"/>
      <c r="C67" s="83"/>
      <c r="D67" s="88"/>
      <c r="E67" s="89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8"/>
      <c r="B68" s="83"/>
      <c r="C68" s="83"/>
      <c r="D68" s="88"/>
      <c r="E68" s="89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8"/>
      <c r="B69" s="83"/>
      <c r="C69" s="83"/>
      <c r="D69" s="88"/>
      <c r="E69" s="89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8"/>
      <c r="B70" s="83"/>
      <c r="C70" s="83"/>
      <c r="D70" s="88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8"/>
      <c r="B71" s="83"/>
      <c r="C71" s="83"/>
      <c r="D71" s="88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8"/>
      <c r="B72" s="83"/>
      <c r="C72" s="83"/>
      <c r="D72" s="88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8"/>
      <c r="B73" s="83"/>
      <c r="C73" s="83"/>
      <c r="D73" s="88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8"/>
      <c r="B74" s="83"/>
      <c r="C74" s="83"/>
      <c r="D74" s="88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8"/>
      <c r="B75" s="83"/>
      <c r="C75" s="83"/>
      <c r="D75" s="88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8"/>
      <c r="B76" s="83"/>
      <c r="C76" s="83"/>
      <c r="D76" s="88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8"/>
      <c r="B77" s="83"/>
      <c r="C77" s="83"/>
      <c r="D77" s="88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8"/>
      <c r="B78" s="83"/>
      <c r="C78" s="83"/>
      <c r="D78" s="88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8"/>
      <c r="B79" s="83"/>
      <c r="C79" s="83"/>
      <c r="D79" s="88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8"/>
      <c r="B80" s="83"/>
      <c r="C80" s="83"/>
      <c r="D80" s="88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8"/>
      <c r="B81" s="83"/>
      <c r="C81" s="83"/>
      <c r="D81" s="88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8"/>
      <c r="B82" s="83"/>
      <c r="C82" s="83"/>
      <c r="D82" s="88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8"/>
      <c r="B83" s="83"/>
      <c r="C83" s="83"/>
      <c r="D83" s="88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8"/>
      <c r="B84" s="83"/>
      <c r="C84" s="83"/>
      <c r="D84" s="88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8"/>
      <c r="B85" s="83"/>
      <c r="C85" s="83"/>
      <c r="D85" s="88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8"/>
      <c r="B86" s="83"/>
      <c r="C86" s="83"/>
      <c r="D86" s="88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8"/>
      <c r="B87" s="83"/>
      <c r="C87" s="83"/>
      <c r="D87" s="88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8"/>
      <c r="B88" s="83"/>
      <c r="C88" s="83"/>
      <c r="D88" s="88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8"/>
      <c r="B89" s="83"/>
      <c r="C89" s="83"/>
      <c r="D89" s="88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8"/>
      <c r="B90" s="83"/>
      <c r="C90" s="83"/>
      <c r="D90" s="88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8"/>
      <c r="B91" s="83"/>
      <c r="C91" s="83"/>
      <c r="D91" s="88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8"/>
      <c r="B92" s="83"/>
      <c r="C92" s="83"/>
      <c r="D92" s="88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8"/>
      <c r="B93" s="83"/>
      <c r="C93" s="83"/>
      <c r="D93" s="88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8"/>
      <c r="B94" s="83"/>
      <c r="C94" s="83"/>
      <c r="D94" s="88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8"/>
      <c r="B95" s="83"/>
      <c r="C95" s="83"/>
      <c r="D95" s="88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8"/>
      <c r="B96" s="83"/>
      <c r="C96" s="83"/>
      <c r="D96" s="88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8"/>
      <c r="B97" s="83"/>
      <c r="C97" s="83"/>
      <c r="D97" s="88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8"/>
      <c r="B98" s="83"/>
      <c r="C98" s="83"/>
      <c r="D98" s="88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8"/>
      <c r="B99" s="83"/>
      <c r="C99" s="83"/>
      <c r="D99" s="88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8"/>
      <c r="B100" s="83"/>
      <c r="C100" s="83"/>
      <c r="D100" s="88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8"/>
      <c r="B101" s="83"/>
      <c r="C101" s="83"/>
      <c r="D101" s="88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8"/>
      <c r="B102" s="83"/>
      <c r="C102" s="83"/>
      <c r="D102" s="88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8"/>
      <c r="B103" s="83"/>
      <c r="C103" s="83"/>
      <c r="D103" s="88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8"/>
      <c r="B104" s="83"/>
      <c r="C104" s="83"/>
      <c r="D104" s="88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8"/>
      <c r="B105" s="83"/>
      <c r="C105" s="83"/>
      <c r="D105" s="88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8"/>
      <c r="B106" s="83"/>
      <c r="C106" s="83"/>
      <c r="D106" s="88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8"/>
      <c r="B107" s="83"/>
      <c r="C107" s="83"/>
      <c r="D107" s="88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8"/>
      <c r="B108" s="83"/>
      <c r="C108" s="83"/>
      <c r="D108" s="88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8"/>
      <c r="B109" s="83"/>
      <c r="C109" s="83"/>
      <c r="D109" s="88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8"/>
      <c r="B110" s="83"/>
      <c r="C110" s="83"/>
      <c r="D110" s="88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8"/>
      <c r="B111" s="83"/>
      <c r="C111" s="83"/>
      <c r="D111" s="88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8"/>
      <c r="B112" s="83"/>
      <c r="C112" s="83"/>
      <c r="D112" s="88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8"/>
      <c r="B113" s="83"/>
      <c r="C113" s="83"/>
      <c r="D113" s="88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8"/>
      <c r="B114" s="83"/>
      <c r="C114" s="83"/>
      <c r="D114" s="88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8"/>
      <c r="B115" s="83"/>
      <c r="C115" s="83"/>
      <c r="D115" s="88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8"/>
      <c r="B116" s="83"/>
      <c r="C116" s="83"/>
      <c r="D116" s="88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8"/>
      <c r="B117" s="83"/>
      <c r="C117" s="83"/>
      <c r="D117" s="88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8"/>
      <c r="B118" s="83"/>
      <c r="C118" s="83"/>
      <c r="D118" s="88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8"/>
      <c r="B119" s="83"/>
      <c r="C119" s="83"/>
      <c r="D119" s="88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8"/>
      <c r="B120" s="83"/>
      <c r="C120" s="83"/>
      <c r="D120" s="88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8"/>
      <c r="B121" s="83"/>
      <c r="C121" s="83"/>
      <c r="D121" s="88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8"/>
      <c r="B122" s="83"/>
      <c r="C122" s="83"/>
      <c r="D122" s="88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8"/>
      <c r="B123" s="83"/>
      <c r="C123" s="83"/>
      <c r="D123" s="88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8"/>
      <c r="B124" s="83"/>
      <c r="C124" s="83"/>
      <c r="D124" s="88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8"/>
      <c r="B125" s="83"/>
      <c r="C125" s="83"/>
      <c r="D125" s="88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8"/>
      <c r="B126" s="83"/>
      <c r="C126" s="83"/>
      <c r="D126" s="88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8"/>
      <c r="B127" s="83"/>
      <c r="C127" s="83"/>
      <c r="D127" s="88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8"/>
      <c r="B128" s="83"/>
      <c r="C128" s="83"/>
      <c r="D128" s="88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8"/>
      <c r="B129" s="83"/>
      <c r="C129" s="83"/>
      <c r="D129" s="88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8"/>
      <c r="B130" s="83"/>
      <c r="C130" s="83"/>
      <c r="D130" s="88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8"/>
      <c r="B131" s="83"/>
      <c r="C131" s="83"/>
      <c r="D131" s="88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8"/>
      <c r="B132" s="83"/>
      <c r="C132" s="83"/>
      <c r="D132" s="88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8"/>
      <c r="B133" s="83"/>
      <c r="C133" s="83"/>
      <c r="D133" s="88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8"/>
      <c r="B134" s="83"/>
      <c r="C134" s="83"/>
      <c r="D134" s="88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8"/>
      <c r="B135" s="83"/>
      <c r="C135" s="83"/>
      <c r="D135" s="88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8"/>
      <c r="B136" s="83"/>
      <c r="C136" s="83"/>
      <c r="D136" s="88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8"/>
      <c r="B137" s="83"/>
      <c r="C137" s="83"/>
      <c r="D137" s="88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8"/>
      <c r="B138" s="83"/>
      <c r="C138" s="83"/>
      <c r="D138" s="88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8"/>
      <c r="B139" s="83"/>
      <c r="C139" s="83"/>
      <c r="D139" s="88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8"/>
      <c r="B140" s="83"/>
      <c r="C140" s="83"/>
      <c r="D140" s="88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8"/>
      <c r="B141" s="83"/>
      <c r="C141" s="83"/>
      <c r="D141" s="88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8"/>
      <c r="B142" s="83"/>
      <c r="C142" s="83"/>
      <c r="D142" s="88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8"/>
      <c r="B143" s="83"/>
      <c r="C143" s="83"/>
      <c r="D143" s="88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8"/>
      <c r="B144" s="83"/>
      <c r="C144" s="83"/>
      <c r="D144" s="88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8"/>
      <c r="B145" s="83"/>
      <c r="C145" s="83"/>
      <c r="D145" s="88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8"/>
      <c r="B146" s="83"/>
      <c r="C146" s="83"/>
      <c r="D146" s="88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8"/>
      <c r="B147" s="83"/>
      <c r="C147" s="83"/>
      <c r="D147" s="88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8"/>
      <c r="B148" s="83"/>
      <c r="C148" s="83"/>
      <c r="D148" s="88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8"/>
      <c r="B149" s="83"/>
      <c r="C149" s="83"/>
      <c r="D149" s="88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8"/>
      <c r="B150" s="83"/>
      <c r="C150" s="83"/>
      <c r="D150" s="88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8"/>
      <c r="B151" s="83"/>
      <c r="C151" s="83"/>
      <c r="D151" s="88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8"/>
      <c r="B152" s="83"/>
      <c r="C152" s="83"/>
      <c r="D152" s="88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8"/>
      <c r="B153" s="83"/>
      <c r="C153" s="83"/>
      <c r="D153" s="88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8"/>
      <c r="B154" s="83"/>
      <c r="C154" s="83"/>
      <c r="D154" s="88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8"/>
      <c r="B155" s="83"/>
      <c r="C155" s="83"/>
      <c r="D155" s="88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8"/>
      <c r="B156" s="83"/>
      <c r="C156" s="83"/>
      <c r="D156" s="88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8"/>
      <c r="B157" s="83"/>
      <c r="C157" s="83"/>
      <c r="D157" s="88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8"/>
      <c r="B158" s="83"/>
      <c r="C158" s="83"/>
      <c r="D158" s="88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8"/>
      <c r="B159" s="83"/>
      <c r="C159" s="83"/>
      <c r="D159" s="88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8"/>
      <c r="B160" s="83"/>
      <c r="C160" s="83"/>
      <c r="D160" s="88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8"/>
      <c r="B161" s="83"/>
      <c r="C161" s="83"/>
      <c r="D161" s="88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8"/>
      <c r="B162" s="83"/>
      <c r="C162" s="83"/>
      <c r="D162" s="88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8"/>
      <c r="B163" s="83"/>
      <c r="C163" s="83"/>
      <c r="D163" s="88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8"/>
      <c r="B164" s="83"/>
      <c r="C164" s="83"/>
      <c r="D164" s="88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8"/>
      <c r="B165" s="83"/>
      <c r="C165" s="83"/>
      <c r="D165" s="88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8"/>
      <c r="B166" s="83"/>
      <c r="C166" s="83"/>
      <c r="D166" s="88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8"/>
      <c r="B167" s="83"/>
      <c r="C167" s="83"/>
      <c r="D167" s="88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8"/>
      <c r="B168" s="83"/>
      <c r="C168" s="83"/>
      <c r="D168" s="88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8"/>
      <c r="B169" s="83"/>
      <c r="C169" s="83"/>
      <c r="D169" s="88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8"/>
      <c r="B170" s="83"/>
      <c r="C170" s="83"/>
      <c r="D170" s="88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8"/>
      <c r="B171" s="83"/>
      <c r="C171" s="83"/>
      <c r="D171" s="88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8"/>
      <c r="B172" s="83"/>
      <c r="C172" s="83"/>
      <c r="D172" s="88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8"/>
      <c r="B173" s="83"/>
      <c r="C173" s="83"/>
      <c r="D173" s="88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8"/>
      <c r="B174" s="83"/>
      <c r="C174" s="83"/>
      <c r="D174" s="88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8"/>
      <c r="B175" s="83"/>
      <c r="C175" s="83"/>
      <c r="D175" s="88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8"/>
      <c r="B176" s="83"/>
      <c r="C176" s="83"/>
      <c r="D176" s="88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8"/>
      <c r="B177" s="83"/>
      <c r="C177" s="83"/>
      <c r="D177" s="88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8"/>
      <c r="B178" s="83"/>
      <c r="C178" s="83"/>
      <c r="D178" s="88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8"/>
      <c r="B179" s="83"/>
      <c r="C179" s="83"/>
      <c r="D179" s="88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8"/>
      <c r="B180" s="83"/>
      <c r="C180" s="83"/>
      <c r="D180" s="88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8"/>
      <c r="B181" s="83"/>
      <c r="C181" s="83"/>
      <c r="D181" s="88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8"/>
      <c r="B182" s="83"/>
      <c r="C182" s="83"/>
      <c r="D182" s="88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8"/>
      <c r="B183" s="83"/>
      <c r="C183" s="83"/>
      <c r="D183" s="88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8"/>
      <c r="B184" s="83"/>
      <c r="C184" s="83"/>
      <c r="D184" s="88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8"/>
      <c r="B185" s="83"/>
      <c r="C185" s="83"/>
      <c r="D185" s="88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8"/>
      <c r="B186" s="83"/>
      <c r="C186" s="83"/>
      <c r="D186" s="88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8"/>
      <c r="B187" s="83"/>
      <c r="C187" s="83"/>
      <c r="D187" s="88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8"/>
      <c r="B188" s="83"/>
      <c r="C188" s="83"/>
      <c r="D188" s="88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8"/>
      <c r="B189" s="83"/>
      <c r="C189" s="83"/>
      <c r="D189" s="88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8"/>
      <c r="B190" s="83"/>
      <c r="C190" s="83"/>
      <c r="D190" s="88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8"/>
      <c r="B191" s="83"/>
      <c r="C191" s="83"/>
      <c r="D191" s="88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8"/>
      <c r="B192" s="83"/>
      <c r="C192" s="83"/>
      <c r="D192" s="88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8"/>
      <c r="B193" s="83"/>
      <c r="C193" s="83"/>
      <c r="D193" s="88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8"/>
      <c r="B194" s="83"/>
      <c r="C194" s="83"/>
      <c r="D194" s="88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8"/>
      <c r="B195" s="83"/>
      <c r="C195" s="83"/>
      <c r="D195" s="88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8"/>
      <c r="B196" s="83"/>
      <c r="C196" s="83"/>
      <c r="D196" s="88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8"/>
      <c r="B197" s="83"/>
      <c r="C197" s="83"/>
      <c r="D197" s="88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8"/>
      <c r="B198" s="83"/>
      <c r="C198" s="83"/>
      <c r="D198" s="88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8"/>
      <c r="B199" s="83"/>
      <c r="C199" s="83"/>
      <c r="D199" s="88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8"/>
      <c r="B200" s="83"/>
      <c r="C200" s="83"/>
      <c r="D200" s="88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8"/>
      <c r="B201" s="83"/>
      <c r="C201" s="83"/>
      <c r="D201" s="88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8"/>
      <c r="B202" s="83"/>
      <c r="C202" s="83"/>
      <c r="D202" s="88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8"/>
      <c r="B203" s="83"/>
      <c r="C203" s="83"/>
      <c r="D203" s="88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8"/>
      <c r="B204" s="83"/>
      <c r="C204" s="83"/>
      <c r="D204" s="88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8"/>
      <c r="B205" s="83"/>
      <c r="C205" s="83"/>
      <c r="D205" s="88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8"/>
      <c r="B206" s="83"/>
      <c r="C206" s="83"/>
      <c r="D206" s="88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8"/>
      <c r="B207" s="83"/>
      <c r="C207" s="83"/>
      <c r="D207" s="88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8"/>
      <c r="B208" s="83"/>
      <c r="C208" s="83"/>
      <c r="D208" s="88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8"/>
      <c r="B209" s="83"/>
      <c r="C209" s="83"/>
      <c r="D209" s="88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8"/>
      <c r="B210" s="83"/>
      <c r="C210" s="83"/>
      <c r="D210" s="88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8"/>
      <c r="B211" s="83"/>
      <c r="C211" s="83"/>
      <c r="D211" s="88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8"/>
      <c r="B212" s="83"/>
      <c r="C212" s="83"/>
      <c r="D212" s="88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8"/>
      <c r="B213" s="83"/>
      <c r="C213" s="83"/>
      <c r="D213" s="88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8"/>
      <c r="B214" s="83"/>
      <c r="C214" s="83"/>
      <c r="D214" s="88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8"/>
      <c r="B215" s="83"/>
      <c r="C215" s="83"/>
      <c r="D215" s="88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8"/>
      <c r="B216" s="83"/>
      <c r="C216" s="83"/>
      <c r="D216" s="88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8"/>
      <c r="B217" s="83"/>
      <c r="C217" s="83"/>
      <c r="D217" s="88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8"/>
      <c r="B218" s="83"/>
      <c r="C218" s="83"/>
      <c r="D218" s="88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8"/>
      <c r="B219" s="83"/>
      <c r="C219" s="83"/>
      <c r="D219" s="88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8"/>
      <c r="B220" s="83"/>
      <c r="C220" s="83"/>
      <c r="D220" s="88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1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6" width="8.78"/>
  </cols>
  <sheetData>
    <row r="1" ht="15.0" customHeight="1">
      <c r="A1" s="90" t="s">
        <v>104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5.0" customHeight="1">
      <c r="A2" s="91" t="s">
        <v>41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</row>
    <row r="3" ht="15.0" customHeight="1">
      <c r="A3" s="91" t="s">
        <v>46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</row>
    <row r="4" ht="15.0" customHeight="1">
      <c r="A4" s="83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</row>
    <row r="5" ht="15.0" customHeight="1">
      <c r="A5" s="83"/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3"/>
      <c r="X5" s="83"/>
      <c r="Y5" s="83"/>
      <c r="Z5" s="83"/>
    </row>
    <row r="6" ht="15.0" customHeight="1">
      <c r="A6" s="83"/>
      <c r="B6" s="83"/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</row>
    <row r="7" ht="15.0" customHeight="1">
      <c r="A7" s="83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</row>
    <row r="8" ht="15.0" customHeight="1">
      <c r="A8" s="83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</row>
    <row r="9" ht="15.0" customHeight="1">
      <c r="A9" s="83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</row>
    <row r="10" ht="15.0" customHeight="1">
      <c r="A10" s="83"/>
      <c r="B10" s="83"/>
      <c r="C10" s="83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</row>
    <row r="11" ht="15.0" customHeight="1">
      <c r="A11" s="83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</row>
    <row r="12" ht="15.0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</row>
    <row r="13" ht="15.0" customHeight="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</row>
    <row r="14" ht="15.0" customHeight="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 ht="15.0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 ht="15.0" customHeight="1">
      <c r="A16" s="83"/>
      <c r="B16" s="83"/>
      <c r="C16" s="8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 ht="15.0" customHeight="1">
      <c r="A17" s="83"/>
      <c r="B17" s="83"/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 ht="15.0" customHeight="1">
      <c r="A18" s="83"/>
      <c r="B18" s="83"/>
      <c r="C18" s="83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 ht="15.0" customHeight="1">
      <c r="A19" s="83"/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 ht="15.0" customHeight="1">
      <c r="A20" s="83"/>
      <c r="B20" s="83"/>
      <c r="C20" s="83"/>
      <c r="D20" s="83"/>
      <c r="E20" s="83"/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 ht="15.0" customHeight="1">
      <c r="A21" s="83"/>
      <c r="B21" s="83"/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 ht="15.0" customHeight="1">
      <c r="A22" s="83"/>
      <c r="B22" s="83"/>
      <c r="C22" s="83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 ht="15.0" customHeight="1">
      <c r="A23" s="83"/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 ht="15.0" customHeight="1">
      <c r="A24" s="83"/>
      <c r="B24" s="83"/>
      <c r="C24" s="83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 ht="15.75" customHeight="1">
      <c r="A25" s="83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 ht="15.75" customHeight="1">
      <c r="A26" s="83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5.75" customHeight="1">
      <c r="A27" s="83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 ht="15.75" customHeight="1">
      <c r="A28" s="83"/>
      <c r="B28" s="83"/>
      <c r="C28" s="83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 ht="15.75" customHeight="1">
      <c r="A29" s="83"/>
      <c r="B29" s="83"/>
      <c r="C29" s="83"/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 ht="15.75" customHeight="1">
      <c r="A30" s="83"/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5.75" customHeight="1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 ht="15.75" customHeight="1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 ht="15.75" customHeight="1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 ht="15.75" customHeight="1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 ht="15.75" customHeight="1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 ht="15.75" customHeight="1">
      <c r="A36" s="83"/>
      <c r="B36" s="83"/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 ht="15.75" customHeight="1">
      <c r="A37" s="83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</row>
    <row r="38" ht="15.75" customHeight="1">
      <c r="A38" s="83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 ht="15.75" customHeight="1">
      <c r="A39" s="83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 ht="15.75" customHeight="1">
      <c r="A40" s="83"/>
      <c r="B40" s="83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  <c r="X40" s="83"/>
      <c r="Y40" s="83"/>
      <c r="Z40" s="83"/>
    </row>
    <row r="41" ht="15.75" customHeight="1">
      <c r="A41" s="83"/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 ht="15.75" customHeight="1">
      <c r="A42" s="83"/>
      <c r="B42" s="83"/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 ht="15.75" customHeight="1">
      <c r="A43" s="83"/>
      <c r="B43" s="83"/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 ht="15.75" customHeight="1">
      <c r="A44" s="83"/>
      <c r="B44" s="83"/>
      <c r="C44" s="83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3"/>
    </row>
    <row r="45" ht="15.75" customHeight="1">
      <c r="A45" s="83"/>
      <c r="B45" s="83"/>
      <c r="C45" s="83"/>
      <c r="D45" s="83"/>
      <c r="E45" s="83"/>
      <c r="F45" s="83"/>
      <c r="G45" s="83"/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 ht="15.75" customHeight="1">
      <c r="A46" s="83"/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 ht="15.75" customHeight="1">
      <c r="A47" s="83"/>
      <c r="B47" s="83"/>
      <c r="C47" s="83"/>
      <c r="D47" s="83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 ht="15.75" customHeight="1">
      <c r="A48" s="83"/>
      <c r="B48" s="83"/>
      <c r="C48" s="83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 ht="15.75" customHeight="1">
      <c r="A49" s="83"/>
      <c r="B49" s="83"/>
      <c r="C49" s="83"/>
      <c r="D49" s="83"/>
      <c r="E49" s="83"/>
      <c r="F49" s="83"/>
      <c r="G49" s="83"/>
      <c r="H49" s="83"/>
      <c r="I49" s="83"/>
      <c r="J49" s="83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 ht="15.75" customHeight="1">
      <c r="A50" s="83"/>
      <c r="B50" s="83"/>
      <c r="C50" s="83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83"/>
      <c r="Q50" s="83"/>
      <c r="R50" s="83"/>
      <c r="S50" s="83"/>
      <c r="T50" s="83"/>
      <c r="U50" s="83"/>
      <c r="V50" s="83"/>
      <c r="W50" s="83"/>
      <c r="X50" s="83"/>
      <c r="Y50" s="83"/>
      <c r="Z50" s="83"/>
    </row>
    <row r="51" ht="15.75" customHeight="1">
      <c r="A51" s="83"/>
      <c r="B51" s="83"/>
      <c r="C51" s="83"/>
      <c r="D51" s="83"/>
      <c r="E51" s="83"/>
      <c r="F51" s="83"/>
      <c r="G51" s="83"/>
      <c r="H51" s="83"/>
      <c r="I51" s="83"/>
      <c r="J51" s="83"/>
      <c r="K51" s="83"/>
      <c r="L51" s="83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</row>
    <row r="52" ht="15.75" customHeight="1">
      <c r="A52" s="83"/>
      <c r="B52" s="83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83"/>
      <c r="Q52" s="83"/>
      <c r="R52" s="83"/>
      <c r="S52" s="83"/>
      <c r="T52" s="83"/>
      <c r="U52" s="83"/>
      <c r="V52" s="83"/>
      <c r="W52" s="83"/>
      <c r="X52" s="83"/>
      <c r="Y52" s="83"/>
      <c r="Z52" s="83"/>
    </row>
    <row r="53" ht="15.75" customHeight="1">
      <c r="A53" s="83"/>
      <c r="B53" s="83"/>
      <c r="C53" s="83"/>
      <c r="D53" s="83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</row>
    <row r="54" ht="15.75" customHeight="1">
      <c r="A54" s="83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3"/>
    </row>
    <row r="55" ht="15.75" customHeight="1">
      <c r="A55" s="83"/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</row>
    <row r="56" ht="15.75" customHeight="1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</row>
    <row r="57" ht="15.75" customHeight="1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</row>
    <row r="58" ht="15.75" customHeight="1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</row>
    <row r="59" ht="15.75" customHeight="1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</row>
    <row r="60" ht="15.75" customHeight="1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</row>
    <row r="61" ht="15.75" customHeight="1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</row>
    <row r="62" ht="15.75" customHeight="1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Q62" s="83"/>
      <c r="R62" s="83"/>
      <c r="S62" s="83"/>
      <c r="T62" s="83"/>
      <c r="U62" s="83"/>
      <c r="V62" s="83"/>
      <c r="W62" s="83"/>
      <c r="X62" s="83"/>
      <c r="Y62" s="83"/>
      <c r="Z62" s="83"/>
    </row>
    <row r="63" ht="15.75" customHeight="1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3"/>
      <c r="N63" s="83"/>
      <c r="O63" s="83"/>
      <c r="P63" s="83"/>
      <c r="Q63" s="83"/>
      <c r="R63" s="83"/>
      <c r="S63" s="83"/>
      <c r="T63" s="83"/>
      <c r="U63" s="83"/>
      <c r="V63" s="83"/>
      <c r="W63" s="83"/>
      <c r="X63" s="83"/>
      <c r="Y63" s="83"/>
      <c r="Z63" s="83"/>
    </row>
    <row r="64" ht="15.75" customHeight="1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</row>
    <row r="65" ht="15.75" customHeight="1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3"/>
      <c r="N65" s="83"/>
      <c r="O65" s="83"/>
      <c r="P65" s="83"/>
      <c r="Q65" s="83"/>
      <c r="R65" s="83"/>
      <c r="S65" s="83"/>
      <c r="T65" s="83"/>
      <c r="U65" s="83"/>
      <c r="V65" s="83"/>
      <c r="W65" s="83"/>
      <c r="X65" s="83"/>
      <c r="Y65" s="83"/>
      <c r="Z65" s="83"/>
    </row>
    <row r="66" ht="15.75" customHeight="1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</row>
    <row r="67" ht="15.75" customHeight="1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</row>
    <row r="68" ht="15.75" customHeight="1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</row>
    <row r="69" ht="15.75" customHeight="1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3"/>
      <c r="N69" s="83"/>
      <c r="O69" s="83"/>
      <c r="P69" s="83"/>
      <c r="Q69" s="83"/>
      <c r="R69" s="83"/>
      <c r="S69" s="83"/>
      <c r="T69" s="83"/>
      <c r="U69" s="83"/>
      <c r="V69" s="83"/>
      <c r="W69" s="83"/>
      <c r="X69" s="83"/>
      <c r="Y69" s="83"/>
      <c r="Z69" s="83"/>
    </row>
    <row r="70" ht="15.75" customHeight="1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3"/>
      <c r="U70" s="83"/>
      <c r="V70" s="83"/>
      <c r="W70" s="83"/>
      <c r="X70" s="83"/>
      <c r="Y70" s="83"/>
      <c r="Z70" s="83"/>
    </row>
    <row r="71" ht="15.75" customHeight="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3"/>
      <c r="O71" s="83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</row>
    <row r="72" ht="15.75" customHeight="1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83"/>
      <c r="S72" s="83"/>
      <c r="T72" s="83"/>
      <c r="U72" s="83"/>
      <c r="V72" s="83"/>
      <c r="W72" s="83"/>
      <c r="X72" s="83"/>
      <c r="Y72" s="83"/>
      <c r="Z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3"/>
      <c r="N73" s="83"/>
      <c r="O73" s="83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</row>
    <row r="75" ht="15.75" customHeight="1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</row>
    <row r="76" ht="15.75" customHeight="1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</row>
    <row r="77" ht="15.75" customHeight="1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3"/>
      <c r="N77" s="83"/>
      <c r="O77" s="83"/>
      <c r="P77" s="83"/>
      <c r="Q77" s="83"/>
      <c r="R77" s="83"/>
      <c r="S77" s="83"/>
      <c r="T77" s="83"/>
      <c r="U77" s="83"/>
      <c r="V77" s="83"/>
      <c r="W77" s="83"/>
      <c r="X77" s="83"/>
      <c r="Y77" s="83"/>
      <c r="Z77" s="83"/>
    </row>
    <row r="78" ht="15.75" customHeight="1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83"/>
      <c r="Q78" s="83"/>
      <c r="R78" s="83"/>
      <c r="S78" s="83"/>
      <c r="T78" s="83"/>
      <c r="U78" s="83"/>
      <c r="V78" s="83"/>
      <c r="W78" s="83"/>
      <c r="X78" s="83"/>
      <c r="Y78" s="83"/>
      <c r="Z78" s="83"/>
    </row>
    <row r="79" ht="15.75" customHeight="1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3"/>
      <c r="N79" s="83"/>
      <c r="O79" s="83"/>
      <c r="P79" s="83"/>
      <c r="Q79" s="83"/>
      <c r="R79" s="83"/>
      <c r="S79" s="83"/>
      <c r="T79" s="83"/>
      <c r="U79" s="83"/>
      <c r="V79" s="83"/>
      <c r="W79" s="83"/>
      <c r="X79" s="83"/>
      <c r="Y79" s="83"/>
      <c r="Z79" s="83"/>
    </row>
    <row r="80" ht="15.75" customHeight="1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</row>
    <row r="81" ht="15.75" customHeight="1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</row>
    <row r="82" ht="15.75" customHeight="1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</row>
    <row r="83" ht="15.75" customHeight="1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</row>
    <row r="84" ht="15.75" customHeight="1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</row>
    <row r="85" ht="15.75" customHeight="1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</row>
    <row r="86" ht="15.75" customHeight="1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</row>
    <row r="87" ht="15.75" customHeight="1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3"/>
      <c r="N87" s="83"/>
      <c r="O87" s="83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</row>
    <row r="88" ht="15.75" customHeight="1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</row>
    <row r="89" ht="15.75" customHeight="1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</row>
    <row r="90" ht="15.75" customHeight="1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</row>
    <row r="91" ht="15.75" customHeight="1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3"/>
      <c r="O91" s="83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</row>
    <row r="92" ht="15.75" customHeight="1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</row>
    <row r="93" ht="15.75" customHeight="1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3"/>
      <c r="O93" s="83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</row>
    <row r="94" ht="15.75" customHeight="1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</row>
    <row r="95" ht="15.75" customHeight="1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3"/>
      <c r="O95" s="83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</row>
    <row r="96" ht="15.75" customHeight="1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</row>
    <row r="97" ht="15.75" customHeight="1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3"/>
      <c r="O97" s="83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</row>
    <row r="98" ht="15.75" customHeight="1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</row>
    <row r="99" ht="15.75" customHeight="1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3"/>
      <c r="O101" s="83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3"/>
      <c r="O135" s="83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3"/>
      <c r="O137" s="83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3"/>
      <c r="O141" s="83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3"/>
      <c r="O145" s="83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3"/>
      <c r="O147" s="83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3"/>
      <c r="O149" s="83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3"/>
      <c r="O151" s="83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3"/>
      <c r="O153" s="83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3"/>
      <c r="O155" s="83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3"/>
      <c r="O157" s="83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3"/>
      <c r="O159" s="83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3"/>
      <c r="O160" s="83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3"/>
      <c r="O161" s="83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3"/>
      <c r="O163" s="83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3"/>
      <c r="O165" s="83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3"/>
      <c r="O167" s="83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3"/>
      <c r="O169" s="83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3"/>
      <c r="O171" s="83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3"/>
      <c r="O173" s="83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3"/>
      <c r="O175" s="83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3"/>
      <c r="O177" s="83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3"/>
      <c r="O179" s="83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3"/>
      <c r="O181" s="83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3"/>
      <c r="O183" s="83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3"/>
      <c r="O185" s="83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3"/>
      <c r="O187" s="83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3"/>
      <c r="O189" s="83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3"/>
      <c r="O191" s="83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3"/>
      <c r="O193" s="83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3"/>
      <c r="O195" s="83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3"/>
      <c r="O197" s="83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3"/>
      <c r="O201" s="83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3"/>
      <c r="O203" s="83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3"/>
      <c r="O205" s="83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3"/>
      <c r="O207" s="83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3"/>
      <c r="O211" s="83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3"/>
      <c r="O213" s="83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3"/>
      <c r="O215" s="83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3"/>
      <c r="O217" s="83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3"/>
      <c r="O219" s="83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